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</externalReferences>
  <definedNames>
    <definedName name="_xlnm._FilterDatabase" localSheetId="0" hidden="1">'Planes Año 2026 (2)'!$A$1:$E$381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80" i="1" l="1"/>
  <c r="C379" i="1"/>
  <c r="C378" i="1"/>
  <c r="C377" i="1"/>
  <c r="C376" i="1"/>
  <c r="C375" i="1"/>
  <c r="C373" i="1"/>
  <c r="C372" i="1"/>
  <c r="C371" i="1"/>
  <c r="C370" i="1"/>
  <c r="C369" i="1"/>
  <c r="C368" i="1"/>
  <c r="C367" i="1"/>
  <c r="C366" i="1"/>
  <c r="C365" i="1"/>
  <c r="C361" i="1"/>
  <c r="C360" i="1"/>
  <c r="C357" i="1"/>
  <c r="C354" i="1"/>
  <c r="C353" i="1"/>
  <c r="C352" i="1"/>
  <c r="C350" i="1"/>
  <c r="C349" i="1"/>
  <c r="C345" i="1"/>
  <c r="C343" i="1"/>
  <c r="C342" i="1"/>
  <c r="C341" i="1"/>
  <c r="C340" i="1"/>
  <c r="C339" i="1"/>
  <c r="C338" i="1"/>
  <c r="C337" i="1"/>
  <c r="C336" i="1"/>
  <c r="C334" i="1"/>
  <c r="C328" i="1"/>
  <c r="C326" i="1"/>
  <c r="C324" i="1"/>
  <c r="C321" i="1"/>
  <c r="C319" i="1"/>
  <c r="C318" i="1"/>
  <c r="C317" i="1"/>
  <c r="C315" i="1"/>
  <c r="C313" i="1"/>
  <c r="C312" i="1"/>
  <c r="C308" i="1"/>
  <c r="C306" i="1"/>
  <c r="C305" i="1"/>
  <c r="C303" i="1"/>
  <c r="C301" i="1"/>
  <c r="C299" i="1"/>
  <c r="C293" i="1"/>
  <c r="C287" i="1"/>
  <c r="C286" i="1"/>
  <c r="C282" i="1"/>
  <c r="C279" i="1"/>
  <c r="C278" i="1"/>
  <c r="C276" i="1"/>
  <c r="C273" i="1"/>
  <c r="C261" i="1"/>
  <c r="C254" i="1"/>
  <c r="C252" i="1"/>
  <c r="C250" i="1"/>
  <c r="C381" i="1"/>
  <c r="C374" i="1"/>
  <c r="C364" i="1"/>
  <c r="C363" i="1"/>
  <c r="C362" i="1"/>
  <c r="C359" i="1"/>
  <c r="C358" i="1"/>
  <c r="C356" i="1"/>
  <c r="C355" i="1"/>
  <c r="C351" i="1"/>
  <c r="C348" i="1"/>
  <c r="C347" i="1"/>
  <c r="C346" i="1"/>
  <c r="C344" i="1"/>
  <c r="C335" i="1"/>
  <c r="C333" i="1"/>
  <c r="C332" i="1"/>
  <c r="C331" i="1"/>
  <c r="C330" i="1"/>
  <c r="C329" i="1"/>
  <c r="C327" i="1"/>
  <c r="C325" i="1"/>
  <c r="C323" i="1"/>
  <c r="C322" i="1"/>
  <c r="C320" i="1"/>
  <c r="C316" i="1"/>
  <c r="C314" i="1"/>
  <c r="C311" i="1"/>
  <c r="C310" i="1"/>
  <c r="C309" i="1"/>
  <c r="C307" i="1"/>
  <c r="C304" i="1"/>
  <c r="C302" i="1"/>
  <c r="C300" i="1"/>
  <c r="C298" i="1"/>
  <c r="C297" i="1"/>
  <c r="C296" i="1"/>
  <c r="C295" i="1"/>
  <c r="C294" i="1"/>
  <c r="C292" i="1"/>
  <c r="C291" i="1"/>
  <c r="C290" i="1"/>
  <c r="C289" i="1"/>
  <c r="C288" i="1"/>
  <c r="C285" i="1"/>
  <c r="C284" i="1"/>
  <c r="C283" i="1"/>
  <c r="C281" i="1"/>
  <c r="C280" i="1"/>
  <c r="C277" i="1"/>
  <c r="C275" i="1"/>
  <c r="C274" i="1"/>
  <c r="C272" i="1"/>
  <c r="C271" i="1"/>
  <c r="C270" i="1"/>
  <c r="C269" i="1"/>
  <c r="C268" i="1"/>
  <c r="C267" i="1"/>
  <c r="C266" i="1"/>
  <c r="C265" i="1"/>
  <c r="C264" i="1"/>
  <c r="C263" i="1"/>
  <c r="C262" i="1"/>
  <c r="C260" i="1"/>
  <c r="C259" i="1"/>
  <c r="C258" i="1"/>
  <c r="C257" i="1"/>
  <c r="C256" i="1"/>
  <c r="C255" i="1"/>
  <c r="C253" i="1"/>
  <c r="C251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<sst xmlns="http://schemas.openxmlformats.org/spreadsheetml/2006/main" count="833" uniqueCount="241">
  <si>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</si>
  <si>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</si>
  <si>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</si>
  <si>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</si>
  <si>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</si>
  <si>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</si>
  <si>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</si>
  <si>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</si>
  <si>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</si>
  <si>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</si>
  <si>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</si>
  <si>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</si>
  <si>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</si>
  <si>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</si>
  <si>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</si>
  <si>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</si>
  <si>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</si>
  <si>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</si>
  <si>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</si>
  <si>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</si>
  <si>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</si>
  <si>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</si>
  <si>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</si>
  <si>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</si>
  <si>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</si>
  <si>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</si>
  <si>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</si>
  <si>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</si>
  <si>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</si>
  <si>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</si>
  <si>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</si>
  <si>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</si>
  <si>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</si>
  <si>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</si>
  <si>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</si>
  <si>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</si>
  <si>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</si>
  <si>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</si>
  <si>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</si>
  <si>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</si>
  <si>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</si>
  <si>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</si>
  <si>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</si>
  <si>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</si>
  <si>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</si>
  <si>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</si>
  <si>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</si>
  <si>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</si>
  <si>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</si>
  <si>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</si>
  <si>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</si>
  <si>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</si>
  <si>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</si>
  <si>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</si>
  <si>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</si>
  <si>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</si>
  <si>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</si>
  <si>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</si>
  <si>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</si>
  <si>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</si>
  <si>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</si>
  <si>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</si>
  <si>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</si>
  <si>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</si>
  <si>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</si>
  <si>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</si>
  <si>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</si>
  <si>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</si>
  <si>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</si>
  <si>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</si>
  <si>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</si>
  <si>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</si>
  <si>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</si>
  <si>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</si>
  <si>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</si>
  <si>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</si>
  <si>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</si>
  <si>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</si>
  <si>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</si>
  <si>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</si>
  <si>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</si>
  <si>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</si>
  <si>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FCD324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</si>
  <si>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</si>
  <si>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</si>
  <si>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</si>
  <si>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</si>
  <si>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</si>
  <si>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</si>
  <si>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</si>
  <si>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</si>
  <si>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</si>
  <si>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</si>
  <si>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</si>
  <si>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</si>
  <si>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</si>
  <si>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</si>
  <si>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</si>
  <si>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</si>
  <si>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</si>
  <si>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</si>
  <si>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</si>
  <si>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</si>
  <si>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</si>
  <si>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</si>
  <si>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</si>
  <si>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</si>
  <si>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</si>
  <si>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</si>
  <si>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</si>
  <si>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</si>
  <si>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</si>
  <si>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</si>
  <si>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</si>
  <si>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</si>
  <si>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</si>
  <si>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</si>
  <si>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</si>
  <si>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</si>
  <si>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</si>
  <si>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</si>
  <si>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</si>
  <si>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</si>
  <si>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</si>
  <si>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</si>
  <si>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</si>
  <si>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</si>
  <si>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</si>
  <si>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</si>
  <si>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</si>
  <si>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</si>
  <si>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</si>
  <si>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</si>
  <si>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</si>
  <si>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</si>
  <si>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</si>
  <si>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</si>
  <si>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</si>
  <si>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</si>
  <si>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</si>
  <si>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</si>
  <si>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</si>
  <si>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</si>
  <si>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KER728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</si>
  <si>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</si>
  <si>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</si>
  <si>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</si>
  <si>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</si>
  <si>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</si>
  <si>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</si>
  <si>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</si>
  <si>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</si>
  <si>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</si>
  <si>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</si>
  <si>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</si>
  <si>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</si>
  <si>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</si>
  <si>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</si>
  <si>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</si>
  <si>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</si>
  <si>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</si>
  <si>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</si>
  <si>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</si>
  <si>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</si>
  <si>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</si>
  <si>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</si>
  <si>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</si>
  <si>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</si>
  <si>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</si>
  <si>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</si>
  <si>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</si>
  <si>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</si>
  <si>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</si>
  <si>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</si>
  <si>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</si>
  <si>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</si>
  <si>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</si>
  <si>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</si>
  <si>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OHH593</t>
  </si>
  <si>
    <t>OJG065</t>
  </si>
  <si>
    <t>GOX958</t>
  </si>
  <si>
    <t>GFZ650</t>
  </si>
  <si>
    <t>AF865RV</t>
  </si>
  <si>
    <t>HUY047</t>
  </si>
  <si>
    <t>AF461DV</t>
  </si>
  <si>
    <t>AF619YO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</si>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</sst>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Sin Operación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SUC_MEN - Sucursal Mendoza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Sin Operación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Sin Operación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Papelera - Papelera del Plata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Unilever - Unilever de Arg. S.A.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Molca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Unilever - Unilever de Arg. S.A.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CMQ_TTE - QUILMES TTE</v>
          </cell>
        </row>
        <row r="16190">
          <cell r="D16190" t="str">
            <v>JEB636Agosto2026</v>
          </cell>
          <cell r="E16190" t="str">
            <v>Molca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Sin Operación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JOHNSON - SC JOHNSON DE ARGENTINA SAIC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Unilever - Unilever de Arg. S.A.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Molca</v>
          </cell>
        </row>
        <row r="16306">
          <cell r="D16306" t="str">
            <v>OFV179Agosto2026</v>
          </cell>
          <cell r="E16306" t="str">
            <v>Unilever - Unilever de Arg. S.A.</v>
          </cell>
        </row>
        <row r="16307">
          <cell r="D16307" t="str">
            <v>OFZ590Agosto2026</v>
          </cell>
          <cell r="E16307" t="str">
            <v>JOHNSON - SC JOHNSON DE ARGENTINA SAIC</v>
          </cell>
        </row>
        <row r="16308">
          <cell r="D16308" t="str">
            <v>OFZ591Agosto2026</v>
          </cell>
          <cell r="E16308" t="str">
            <v>Molca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CMQ_TTE - QUILMES TTE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INACTIVO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</sheetData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1"/>
  <sheetViews>
    <sheetView tabSelected="1" workbookViewId="0">
      <selection activeCell="D269" sqref="D269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167</v>
      </c>
      <c r="B1" s="5" t="s">
        <v>166</v>
      </c>
      <c r="C1" s="5" t="s">
        <v>165</v>
      </c>
      <c r="D1" s="4" t="s">
        <v>168</v>
      </c>
      <c r="E1" s="4" t="s">
        <v>204</v>
      </c>
    </row>
    <row r="2" spans="1:5" s="1" customFormat="1" x14ac:dyDescent="0.3">
      <c r="A2" s="10" t="s">
        <v>164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163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162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161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160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159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158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157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156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155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154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153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152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151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150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149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148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147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146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145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144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142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141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105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140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139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138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137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130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136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135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134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85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129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83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133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132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131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130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85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129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83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128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127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99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126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123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125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118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124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123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122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121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120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119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118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117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116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93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95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115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102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92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100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90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91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115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114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113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112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110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109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108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107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106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105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104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103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102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101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100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99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98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97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96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95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94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93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92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91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90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89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88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87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86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24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71</v>
      </c>
      <c r="B212" s="9" t="s">
        <v>0</v>
      </c>
      <c r="C212" s="11" t="str">
        <f>VLOOKUP(A212&amp;TEXT(D212,"mmmm")&amp;YEAR(D212),'[1]Detalle C-Fecha'!$D:$E,2,FALSE)</f>
        <v>CMQ_TTE - QUILMES TTE</v>
      </c>
      <c r="D212" s="8">
        <v>46208</v>
      </c>
      <c r="E212" s="19"/>
    </row>
    <row r="213" spans="1:5" x14ac:dyDescent="0.3">
      <c r="A213" s="12" t="s">
        <v>11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8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7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9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3</v>
      </c>
      <c r="B217" s="9" t="s">
        <v>0</v>
      </c>
      <c r="C217" s="11" t="str">
        <f>VLOOKUP(A217&amp;TEXT(D217,"mmmm")&amp;YEAR(D217),'[1]Detalle C-Fecha'!$D:$E,2,FALSE)</f>
        <v>Expreso - Servicios Troncales</v>
      </c>
      <c r="D217" s="8">
        <v>46208</v>
      </c>
      <c r="E217" s="19"/>
    </row>
    <row r="218" spans="1:5" x14ac:dyDescent="0.3">
      <c r="A218" s="12" t="s">
        <v>62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61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57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81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56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53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52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51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50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49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48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45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44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43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79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78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32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31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30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76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74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73</v>
      </c>
      <c r="B239" s="9" t="s">
        <v>0</v>
      </c>
      <c r="C239" s="11" t="str">
        <f>VLOOKUP(A239&amp;TEXT(D239,"mmmm")&amp;YEAR(D239),'[1]Detalle C-Fecha'!$D:$E,2,FALSE)</f>
        <v>Sin Operación</v>
      </c>
      <c r="D239" s="8">
        <v>46208</v>
      </c>
      <c r="E239" s="19"/>
    </row>
    <row r="240" spans="1:5" x14ac:dyDescent="0.3">
      <c r="A240" s="12" t="s">
        <v>84</v>
      </c>
      <c r="B240" s="9" t="s">
        <v>0</v>
      </c>
      <c r="C240" s="11" t="str">
        <f>VLOOKUP(A240&amp;TEXT(D240,"mmmm")&amp;YEAR(D240),'[1]Detalle C-Fecha'!$D:$E,2,FALSE)</f>
        <v>SUC_GAL - Sucursal General Alvear</v>
      </c>
      <c r="D240" s="8">
        <v>46208</v>
      </c>
      <c r="E240" s="19"/>
    </row>
    <row r="241" spans="1:5" x14ac:dyDescent="0.3">
      <c r="A241" s="12" t="s">
        <v>60</v>
      </c>
      <c r="B241" s="9" t="s">
        <v>0</v>
      </c>
      <c r="C241" s="11" t="str">
        <f>VLOOKUP(A241&amp;TEXT(D241,"mmmm")&amp;YEAR(D241),'[1]Detalle C-Fecha'!$D:$E,2,FALSE)</f>
        <v>SUC_MAL - Sucursal Malargüe</v>
      </c>
      <c r="D241" s="8">
        <v>46208</v>
      </c>
      <c r="E241" s="19"/>
    </row>
    <row r="242" spans="1:5" x14ac:dyDescent="0.3">
      <c r="A242" s="12" t="s">
        <v>59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80</v>
      </c>
      <c r="B243" s="9" t="s">
        <v>0</v>
      </c>
      <c r="C243" s="11" t="str">
        <f>VLOOKUP(A243&amp;TEXT(D243,"mmmm")&amp;YEAR(D243),'[1]Detalle C-Fecha'!$D:$E,2,FALSE)</f>
        <v>SUC_MEN - Sucursal Mendoza</v>
      </c>
      <c r="D243" s="8">
        <v>46208</v>
      </c>
      <c r="E243" s="19"/>
    </row>
    <row r="244" spans="1:5" x14ac:dyDescent="0.3">
      <c r="A244" s="12" t="s">
        <v>55</v>
      </c>
      <c r="B244" s="9" t="s">
        <v>0</v>
      </c>
      <c r="C244" s="11" t="str">
        <f>VLOOKUP(A244&amp;TEXT(D244,"mmmm")&amp;YEAR(D244),'[1]Detalle C-Fecha'!$D:$E,2,FALSE)</f>
        <v>SUC_SLU - Sucursal San Luis</v>
      </c>
      <c r="D244" s="8">
        <v>46208</v>
      </c>
      <c r="E244" s="19"/>
    </row>
    <row r="245" spans="1:5" x14ac:dyDescent="0.3">
      <c r="A245" s="12" t="s">
        <v>68</v>
      </c>
      <c r="B245" s="9" t="s">
        <v>0</v>
      </c>
      <c r="C245" s="11" t="str">
        <f>VLOOKUP(A245&amp;TEXT(D245,"mmmm")&amp;YEAR(D245),'[1]Detalle C-Fecha'!$D:$E,2,FALSE)</f>
        <v>SUC_SRA - Sucursal San Rafael</v>
      </c>
      <c r="D245" s="8">
        <v>46208</v>
      </c>
      <c r="E245" s="19"/>
    </row>
    <row r="246" spans="1:5" x14ac:dyDescent="0.3">
      <c r="A246" s="12" t="s">
        <v>77</v>
      </c>
      <c r="B246" s="9" t="s">
        <v>0</v>
      </c>
      <c r="C246" s="11" t="str">
        <f>VLOOKUP(A246&amp;TEXT(D246,"mmmm")&amp;YEAR(D246),'[1]Detalle C-Fecha'!$D:$E,2,FALSE)</f>
        <v>Topacio</v>
      </c>
      <c r="D246" s="8">
        <v>46208</v>
      </c>
      <c r="E246" s="19"/>
    </row>
    <row r="247" spans="1:5" x14ac:dyDescent="0.3">
      <c r="A247" s="12" t="s">
        <v>40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2" t="s">
        <v>23</v>
      </c>
      <c r="B248" s="9" t="s">
        <v>0</v>
      </c>
      <c r="C248" s="11" t="str">
        <f>VLOOKUP(A248&amp;TEXT(D248,"mmmm")&amp;YEAR(D248),'[1]Detalle C-Fecha'!$D:$E,2,FALSE)</f>
        <v>Unilever - Unilever de Arg. S.A.</v>
      </c>
      <c r="D248" s="8">
        <v>46208</v>
      </c>
      <c r="E248" s="19"/>
    </row>
    <row r="249" spans="1:5" x14ac:dyDescent="0.3">
      <c r="A249" s="15" t="s">
        <v>85</v>
      </c>
      <c r="B249" s="9" t="s">
        <v>0</v>
      </c>
      <c r="C249" s="11" t="str">
        <f>VLOOKUP(A249&amp;TEXT(D249,"mmmm")&amp;YEAR(D249),'[1]Detalle C-Fecha'!$D:$E,2,FALSE)</f>
        <v>ADA_CH - Danone Arg. S.A. - Chascomus</v>
      </c>
      <c r="D249" s="13">
        <v>46247.395527343288</v>
      </c>
      <c r="E249" s="19"/>
    </row>
    <row r="250" spans="1:5" x14ac:dyDescent="0.3">
      <c r="A250" s="15" t="s">
        <v>169</v>
      </c>
      <c r="B250" s="9" t="s">
        <v>0</v>
      </c>
      <c r="C250" s="11" t="str">
        <f>VLOOKUP(A250&amp;"agosto"&amp;2026,'[1]Detalle C-Fecha'!$D:$E,2,FALSE)</f>
        <v>CMQ_TTE - QUILMES TTE</v>
      </c>
      <c r="D250" s="13">
        <v>46334.087585714828</v>
      </c>
      <c r="E250" s="19"/>
    </row>
    <row r="251" spans="1:5" x14ac:dyDescent="0.3">
      <c r="A251" s="15" t="s">
        <v>83</v>
      </c>
      <c r="B251" s="9" t="s">
        <v>0</v>
      </c>
      <c r="C251" s="11" t="str">
        <f>VLOOKUP(A251&amp;TEXT(D251,"mmmm")&amp;YEAR(D251),'[1]Detalle C-Fecha'!$D:$E,2,FALSE)</f>
        <v>ADA_CH - Danone Arg. S.A. - Chascomus</v>
      </c>
      <c r="D251" s="13">
        <v>46235</v>
      </c>
      <c r="E251" s="19"/>
    </row>
    <row r="252" spans="1:5" x14ac:dyDescent="0.3">
      <c r="A252" s="15" t="s">
        <v>170</v>
      </c>
      <c r="B252" s="9" t="s">
        <v>0</v>
      </c>
      <c r="C252" s="11" t="str">
        <f>VLOOKUP(A252&amp;"agosto"&amp;2026,'[1]Detalle C-Fecha'!$D:$E,2,FALSE)</f>
        <v>Unilever - Unilever de Arg. S.A.</v>
      </c>
      <c r="D252" s="13">
        <v>46367.40573588846</v>
      </c>
      <c r="E252" s="19"/>
    </row>
    <row r="253" spans="1:5" x14ac:dyDescent="0.3">
      <c r="A253" s="15" t="s">
        <v>171</v>
      </c>
      <c r="B253" s="9" t="s">
        <v>0</v>
      </c>
      <c r="C253" s="11" t="str">
        <f>VLOOKUP(A253&amp;TEXT(D253,"mmmm")&amp;YEAR(D253),'[1]Detalle C-Fecha'!$D:$E,2,FALSE)</f>
        <v>Topacio</v>
      </c>
      <c r="D253" s="13">
        <v>46235</v>
      </c>
      <c r="E253" s="19"/>
    </row>
    <row r="254" spans="1:5" x14ac:dyDescent="0.3">
      <c r="A254" s="15" t="s">
        <v>82</v>
      </c>
      <c r="B254" s="9" t="s">
        <v>0</v>
      </c>
      <c r="C254" s="11" t="str">
        <f>VLOOKUP(A254&amp;"agosto"&amp;2026,'[1]Detalle C-Fecha'!$D:$E,2,FALSE)</f>
        <v>SUC_MEN - Sucursal Mendoza</v>
      </c>
      <c r="D254" s="13">
        <v>46293.303254869163</v>
      </c>
      <c r="E254" s="19"/>
    </row>
    <row r="255" spans="1:5" x14ac:dyDescent="0.3">
      <c r="A255" s="15" t="s">
        <v>81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80</v>
      </c>
      <c r="B256" s="9" t="s">
        <v>0</v>
      </c>
      <c r="C256" s="11" t="str">
        <f>VLOOKUP(A256&amp;TEXT(D256,"mmmm")&amp;YEAR(D256),'[1]Detalle C-Fecha'!$D:$E,2,FALSE)</f>
        <v>SUC_MEN - Sucursal Mendoza</v>
      </c>
      <c r="D256" s="13">
        <v>46235</v>
      </c>
      <c r="E256" s="19"/>
    </row>
    <row r="257" spans="1:5" x14ac:dyDescent="0.3">
      <c r="A257" s="15" t="s">
        <v>172</v>
      </c>
      <c r="B257" s="9" t="s">
        <v>0</v>
      </c>
      <c r="C257" s="11" t="str">
        <f>VLOOKUP(A257&amp;TEXT(D257,"mmmm")&amp;YEAR(D257),'[1]Detalle C-Fecha'!$D:$E,2,FALSE)</f>
        <v>Sin Operación</v>
      </c>
      <c r="D257" s="13">
        <v>46235</v>
      </c>
      <c r="E257" s="19"/>
    </row>
    <row r="258" spans="1:5" x14ac:dyDescent="0.3">
      <c r="A258" s="15" t="s">
        <v>173</v>
      </c>
      <c r="B258" s="9" t="s">
        <v>0</v>
      </c>
      <c r="C258" s="11" t="str">
        <f>VLOOKUP(A258&amp;TEXT(D258,"mmmm")&amp;YEAR(D258),'[1]Detalle C-Fecha'!$D:$E,2,FALSE)</f>
        <v>CCUCoAZA</v>
      </c>
      <c r="D258" s="13">
        <v>46235</v>
      </c>
      <c r="E258" s="19"/>
    </row>
    <row r="259" spans="1:5" x14ac:dyDescent="0.3">
      <c r="A259" s="15" t="s">
        <v>79</v>
      </c>
      <c r="B259" s="9" t="s">
        <v>0</v>
      </c>
      <c r="C259" s="11" t="str">
        <f>VLOOKUP(A259&amp;TEXT(D259,"mmmm")&amp;YEAR(D259),'[1]Detalle C-Fecha'!$D:$E,2,FALSE)</f>
        <v>Sin Operación</v>
      </c>
      <c r="D259" s="13">
        <v>46235</v>
      </c>
      <c r="E259" s="19"/>
    </row>
    <row r="260" spans="1:5" x14ac:dyDescent="0.3">
      <c r="A260" s="15" t="s">
        <v>78</v>
      </c>
      <c r="B260" s="9" t="s">
        <v>0</v>
      </c>
      <c r="C260" s="11" t="str">
        <f>VLOOKUP(A260&amp;TEXT(D260,"mmmm")&amp;YEAR(D260),'[1]Detalle C-Fecha'!$D:$E,2,FALSE)</f>
        <v>Sin Operación</v>
      </c>
      <c r="D260" s="13">
        <v>46235</v>
      </c>
      <c r="E260" s="19"/>
    </row>
    <row r="261" spans="1:5" x14ac:dyDescent="0.3">
      <c r="A261" s="15" t="s">
        <v>174</v>
      </c>
      <c r="B261" s="9" t="s">
        <v>0</v>
      </c>
      <c r="C261" s="11" t="str">
        <f>VLOOKUP(A261&amp;"agosto"&amp;2026,'[1]Detalle C-Fecha'!$D:$E,2,FALSE)</f>
        <v>CCUCoAZA</v>
      </c>
      <c r="D261" s="13">
        <v>46352.320362349201</v>
      </c>
      <c r="E261" s="19"/>
    </row>
    <row r="262" spans="1:5" x14ac:dyDescent="0.3">
      <c r="A262" s="15" t="s">
        <v>76</v>
      </c>
      <c r="B262" s="9" t="s">
        <v>0</v>
      </c>
      <c r="C262" s="11" t="str">
        <f>VLOOKUP(A262&amp;TEXT(D262,"mmmm")&amp;YEAR(D262),'[1]Detalle C-Fecha'!$D:$E,2,FALSE)</f>
        <v>Sin Operación</v>
      </c>
      <c r="D262" s="13">
        <v>46235</v>
      </c>
      <c r="E262" s="19"/>
    </row>
    <row r="263" spans="1:5" x14ac:dyDescent="0.3">
      <c r="A263" s="15" t="s">
        <v>175</v>
      </c>
      <c r="B263" s="9" t="s">
        <v>0</v>
      </c>
      <c r="C263" s="11" t="str">
        <f>VLOOKUP(A263&amp;TEXT(D263,"mmmm")&amp;YEAR(D263),'[1]Detalle C-Fecha'!$D:$E,2,FALSE)</f>
        <v>AGN_TTE - AGUANORT - Transporte</v>
      </c>
      <c r="D263" s="13">
        <v>46235</v>
      </c>
      <c r="E263" s="19"/>
    </row>
    <row r="264" spans="1:5" x14ac:dyDescent="0.3">
      <c r="A264" s="15" t="s">
        <v>176</v>
      </c>
      <c r="B264" s="9" t="s">
        <v>0</v>
      </c>
      <c r="C264" s="11" t="str">
        <f>VLOOKUP(A264&amp;TEXT(D264,"mmmm")&amp;YEAR(D264),'[1]Detalle C-Fecha'!$D:$E,2,FALSE)</f>
        <v>AGN_TTE - AGUANORT - Transporte</v>
      </c>
      <c r="D264" s="13">
        <v>46235</v>
      </c>
      <c r="E264" s="19"/>
    </row>
    <row r="265" spans="1:5" x14ac:dyDescent="0.3">
      <c r="A265" s="15" t="s">
        <v>75</v>
      </c>
      <c r="B265" s="9" t="s">
        <v>0</v>
      </c>
      <c r="C265" s="11" t="str">
        <f>VLOOKUP(A265&amp;TEXT(D265,"mmmm")&amp;YEAR(D265),'[1]Detalle C-Fecha'!$D:$E,2,FALSE)</f>
        <v>AGN_TTE - AGUANORT - Transporte</v>
      </c>
      <c r="D265" s="13">
        <v>46235</v>
      </c>
      <c r="E265" s="19"/>
    </row>
    <row r="266" spans="1:5" x14ac:dyDescent="0.3">
      <c r="A266" s="15" t="s">
        <v>74</v>
      </c>
      <c r="B266" s="9" t="s">
        <v>0</v>
      </c>
      <c r="C266" s="11" t="str">
        <f>VLOOKUP(A266&amp;TEXT(D266,"mmmm")&amp;YEAR(D266),'[1]Detalle C-Fecha'!$D:$E,2,FALSE)</f>
        <v>Sin Operación</v>
      </c>
      <c r="D266" s="13">
        <v>46235</v>
      </c>
      <c r="E266" s="19"/>
    </row>
    <row r="267" spans="1:5" x14ac:dyDescent="0.3">
      <c r="A267" s="15" t="s">
        <v>73</v>
      </c>
      <c r="B267" s="9" t="s">
        <v>0</v>
      </c>
      <c r="C267" s="11" t="str">
        <f>VLOOKUP(A267&amp;TEXT(D267,"mmmm")&amp;YEAR(D267),'[1]Detalle C-Fecha'!$D:$E,2,FALSE)</f>
        <v>Sin Operación</v>
      </c>
      <c r="D267" s="13">
        <v>46235</v>
      </c>
      <c r="E267" s="19"/>
    </row>
    <row r="268" spans="1:5" x14ac:dyDescent="0.3">
      <c r="A268" s="15" t="s">
        <v>177</v>
      </c>
      <c r="B268" s="9" t="s">
        <v>0</v>
      </c>
      <c r="C268" s="11" t="str">
        <f>VLOOKUP(A268&amp;TEXT(D268,"mmmm")&amp;YEAR(D268),'[1]Detalle C-Fecha'!$D:$E,2,FALSE)</f>
        <v>Papelera - Papelera del Plata S.A.</v>
      </c>
      <c r="D268" s="13">
        <v>46235.413792067593</v>
      </c>
      <c r="E268" s="19"/>
    </row>
    <row r="269" spans="1:5" x14ac:dyDescent="0.3">
      <c r="A269" s="15" t="s">
        <v>72</v>
      </c>
      <c r="B269" s="9" t="s">
        <v>0</v>
      </c>
      <c r="C269" s="11" t="str">
        <f>VLOOKUP(A269&amp;TEXT(D269,"mmmm")&amp;YEAR(D269),'[1]Detalle C-Fecha'!$D:$E,2,FALSE)</f>
        <v>CENCOMLD - Cencosud SA - Mendoza</v>
      </c>
      <c r="D269" s="13">
        <v>46265</v>
      </c>
      <c r="E269" s="19"/>
    </row>
    <row r="270" spans="1:5" x14ac:dyDescent="0.3">
      <c r="A270" s="15" t="s">
        <v>71</v>
      </c>
      <c r="B270" s="9" t="s">
        <v>0</v>
      </c>
      <c r="C270" s="11" t="str">
        <f>VLOOKUP(A270&amp;TEXT(D270,"mmmm")&amp;YEAR(D270),'[1]Detalle C-Fecha'!$D:$E,2,FALSE)</f>
        <v>CMQ_TTE - QUILMES TTE</v>
      </c>
      <c r="D270" s="13">
        <v>46235</v>
      </c>
      <c r="E270" s="19"/>
    </row>
    <row r="271" spans="1:5" x14ac:dyDescent="0.3">
      <c r="A271" s="15" t="s">
        <v>70</v>
      </c>
      <c r="B271" s="9" t="s">
        <v>0</v>
      </c>
      <c r="C271" s="11" t="str">
        <f>VLOOKUP(A271&amp;TEXT(D271,"mmmm")&amp;YEAR(D271),'[1]Detalle C-Fecha'!$D:$E,2,FALSE)</f>
        <v>Papelera - Papelera del Plata S.A.</v>
      </c>
      <c r="D271" s="13">
        <v>46256.177175187731</v>
      </c>
      <c r="E271" s="19"/>
    </row>
    <row r="272" spans="1:5" x14ac:dyDescent="0.3">
      <c r="A272" s="15" t="s">
        <v>69</v>
      </c>
      <c r="B272" s="9" t="s">
        <v>0</v>
      </c>
      <c r="C272" s="11" t="str">
        <f>VLOOKUP(A272&amp;TEXT(D272,"mmmm")&amp;YEAR(D272),'[1]Detalle C-Fecha'!$D:$E,2,FALSE)</f>
        <v>SUC_ROS - Sucursal Rosario</v>
      </c>
      <c r="D272" s="13">
        <v>46245.496328731679</v>
      </c>
      <c r="E272" s="19"/>
    </row>
    <row r="273" spans="1:5" x14ac:dyDescent="0.3">
      <c r="A273" s="15" t="s">
        <v>178</v>
      </c>
      <c r="B273" s="9" t="s">
        <v>0</v>
      </c>
      <c r="C273" s="11" t="str">
        <f>VLOOKUP(A273&amp;"agosto"&amp;2026,'[1]Detalle C-Fecha'!$D:$E,2,FALSE)</f>
        <v>CCUCoAZA</v>
      </c>
      <c r="D273" s="13">
        <v>46387.831632626061</v>
      </c>
      <c r="E273" s="19"/>
    </row>
    <row r="274" spans="1:5" x14ac:dyDescent="0.3">
      <c r="A274" s="15" t="s">
        <v>68</v>
      </c>
      <c r="B274" s="9" t="s">
        <v>0</v>
      </c>
      <c r="C274" s="11" t="str">
        <f>VLOOKUP(A274&amp;TEXT(D274,"mmmm")&amp;YEAR(D274),'[1]Detalle C-Fecha'!$D:$E,2,FALSE)</f>
        <v>SUC_SRA - Sucursal San Rafael</v>
      </c>
      <c r="D274" s="13">
        <v>46235</v>
      </c>
      <c r="E274" s="19"/>
    </row>
    <row r="275" spans="1:5" x14ac:dyDescent="0.3">
      <c r="A275" s="15" t="s">
        <v>179</v>
      </c>
      <c r="B275" s="9" t="s">
        <v>0</v>
      </c>
      <c r="C275" s="11" t="str">
        <f>VLOOKUP(A275&amp;TEXT(D275,"mmmm")&amp;YEAR(D275),'[1]Detalle C-Fecha'!$D:$E,2,FALSE)</f>
        <v>CCUDyAZA</v>
      </c>
      <c r="D275" s="13">
        <v>46235</v>
      </c>
      <c r="E275" s="19"/>
    </row>
    <row r="276" spans="1:5" x14ac:dyDescent="0.3">
      <c r="A276" s="15" t="s">
        <v>67</v>
      </c>
      <c r="B276" s="9" t="s">
        <v>0</v>
      </c>
      <c r="C276" s="11" t="str">
        <f>VLOOKUP(A276&amp;"agosto"&amp;2026,'[1]Detalle C-Fecha'!$D:$E,2,FALSE)</f>
        <v>Molca</v>
      </c>
      <c r="D276" s="13">
        <v>46372.959325254036</v>
      </c>
      <c r="E276" s="19"/>
    </row>
    <row r="277" spans="1:5" x14ac:dyDescent="0.3">
      <c r="A277" s="15" t="s">
        <v>119</v>
      </c>
      <c r="B277" s="9" t="s">
        <v>0</v>
      </c>
      <c r="C277" s="11" t="str">
        <f>VLOOKUP(A277&amp;TEXT(D277,"mmmm")&amp;YEAR(D277),'[1]Detalle C-Fecha'!$D:$E,2,FALSE)</f>
        <v>SUC_SRA - Sucursal San Rafael</v>
      </c>
      <c r="D277" s="13">
        <v>46256.707637572421</v>
      </c>
      <c r="E277" s="19"/>
    </row>
    <row r="278" spans="1:5" x14ac:dyDescent="0.3">
      <c r="A278" s="15" t="s">
        <v>180</v>
      </c>
      <c r="B278" s="9" t="s">
        <v>0</v>
      </c>
      <c r="C278" s="11" t="str">
        <f>VLOOKUP(A278&amp;"agosto"&amp;2026,'[1]Detalle C-Fecha'!$D:$E,2,FALSE)</f>
        <v>Papelera - Papelera del Plata S.A - Zarate.</v>
      </c>
      <c r="D278" s="13">
        <v>46329.646559234665</v>
      </c>
      <c r="E278" s="19"/>
    </row>
    <row r="279" spans="1:5" x14ac:dyDescent="0.3">
      <c r="A279" s="15" t="s">
        <v>99</v>
      </c>
      <c r="B279" s="9" t="s">
        <v>0</v>
      </c>
      <c r="C279" s="11" t="str">
        <f>VLOOKUP(A279&amp;"agosto"&amp;2026,'[1]Detalle C-Fecha'!$D:$E,2,FALSE)</f>
        <v>SUC_REA - Sucursal Realicó</v>
      </c>
      <c r="D279" s="13">
        <v>46340.518885153069</v>
      </c>
      <c r="E279" s="19"/>
    </row>
    <row r="280" spans="1:5" x14ac:dyDescent="0.3">
      <c r="A280" s="15" t="s">
        <v>181</v>
      </c>
      <c r="B280" s="9" t="s">
        <v>0</v>
      </c>
      <c r="C280" s="11" t="str">
        <f>VLOOKUP(A280&amp;TEXT(D280,"mmmm")&amp;YEAR(D280),'[1]Detalle C-Fecha'!$D:$E,2,FALSE)</f>
        <v>CENCO_MZ - Cencosud SA - Mendoza</v>
      </c>
      <c r="D280" s="13">
        <v>46235</v>
      </c>
      <c r="E280" s="19"/>
    </row>
    <row r="281" spans="1:5" x14ac:dyDescent="0.3">
      <c r="A281" s="15" t="s">
        <v>66</v>
      </c>
      <c r="B281" s="9" t="s">
        <v>0</v>
      </c>
      <c r="C281" s="11" t="str">
        <f>VLOOKUP(A281&amp;TEXT(D281,"mmmm")&amp;YEAR(D281),'[1]Detalle C-Fecha'!$D:$E,2,FALSE)</f>
        <v>CIMSA_SRA</v>
      </c>
      <c r="D281" s="13">
        <v>46235</v>
      </c>
      <c r="E281" s="19"/>
    </row>
    <row r="282" spans="1:5" x14ac:dyDescent="0.3">
      <c r="A282" s="15" t="s">
        <v>182</v>
      </c>
      <c r="B282" s="9" t="s">
        <v>0</v>
      </c>
      <c r="C282" s="11" t="str">
        <f>VLOOKUP(A282&amp;"agosto"&amp;2026,'[1]Detalle C-Fecha'!$D:$E,2,FALSE)</f>
        <v>CIMSA_CI</v>
      </c>
      <c r="D282" s="13">
        <v>46341.352412202155</v>
      </c>
      <c r="E282" s="19"/>
    </row>
    <row r="283" spans="1:5" x14ac:dyDescent="0.3">
      <c r="A283" s="15" t="s">
        <v>65</v>
      </c>
      <c r="B283" s="9" t="s">
        <v>0</v>
      </c>
      <c r="C283" s="11" t="str">
        <f>VLOOKUP(A283&amp;TEXT(D283,"mmmm")&amp;YEAR(D283),'[1]Detalle C-Fecha'!$D:$E,2,FALSE)</f>
        <v>ADA_CH - Danone Arg. S.A. - Chascomus</v>
      </c>
      <c r="D283" s="13">
        <v>46236.312234004261</v>
      </c>
      <c r="E283" s="19"/>
    </row>
    <row r="284" spans="1:5" x14ac:dyDescent="0.3">
      <c r="A284" s="15" t="s">
        <v>64</v>
      </c>
      <c r="B284" s="9" t="s">
        <v>0</v>
      </c>
      <c r="C284" s="11" t="str">
        <f>VLOOKUP(A284&amp;TEXT(D284,"mmmm")&amp;YEAR(D284),'[1]Detalle C-Fecha'!$D:$E,2,FALSE)</f>
        <v>CENCO_SJ - Cencosud SA - San Juan</v>
      </c>
      <c r="D284" s="13">
        <v>46235</v>
      </c>
      <c r="E284" s="19"/>
    </row>
    <row r="285" spans="1:5" x14ac:dyDescent="0.3">
      <c r="A285" s="15" t="s">
        <v>62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87</v>
      </c>
      <c r="B286" s="9" t="s">
        <v>0</v>
      </c>
      <c r="C286" s="11" t="str">
        <f>VLOOKUP(A286&amp;"agosto"&amp;2026,'[1]Detalle C-Fecha'!$D:$E,2,FALSE)</f>
        <v>Unilever - Unilever de Arg. S.A.</v>
      </c>
      <c r="D286" s="13">
        <v>46384.065133894022</v>
      </c>
      <c r="E286" s="19"/>
    </row>
    <row r="287" spans="1:5" x14ac:dyDescent="0.3">
      <c r="A287" s="15" t="s">
        <v>183</v>
      </c>
      <c r="B287" s="9" t="s">
        <v>0</v>
      </c>
      <c r="C287" s="11" t="str">
        <f>VLOOKUP(A287&amp;"agosto"&amp;2026,'[1]Detalle C-Fecha'!$D:$E,2,FALSE)</f>
        <v>Unilever - Unilever de Arg. S.A.</v>
      </c>
      <c r="D287" s="13">
        <v>46360.914531528753</v>
      </c>
      <c r="E287" s="19"/>
    </row>
    <row r="288" spans="1:5" x14ac:dyDescent="0.3">
      <c r="A288" s="15" t="s">
        <v>61</v>
      </c>
      <c r="B288" s="9" t="s">
        <v>0</v>
      </c>
      <c r="C288" s="11" t="str">
        <f>VLOOKUP(A288&amp;TEXT(D288,"mmmm")&amp;YEAR(D288),'[1]Detalle C-Fecha'!$D:$E,2,FALSE)</f>
        <v>Sin Operación</v>
      </c>
      <c r="D288" s="13">
        <v>46235</v>
      </c>
      <c r="E288" s="19"/>
    </row>
    <row r="289" spans="1:5" x14ac:dyDescent="0.3">
      <c r="A289" s="15" t="s">
        <v>60</v>
      </c>
      <c r="B289" s="9" t="s">
        <v>0</v>
      </c>
      <c r="C289" s="11" t="str">
        <f>VLOOKUP(A289&amp;TEXT(D289,"mmmm")&amp;YEAR(D289),'[1]Detalle C-Fecha'!$D:$E,2,FALSE)</f>
        <v>SUC_MAL - Sucursal Malargüe</v>
      </c>
      <c r="D289" s="13">
        <v>46235</v>
      </c>
      <c r="E289" s="19"/>
    </row>
    <row r="290" spans="1:5" x14ac:dyDescent="0.3">
      <c r="A290" s="15" t="s">
        <v>59</v>
      </c>
      <c r="B290" s="9" t="s">
        <v>0</v>
      </c>
      <c r="C290" s="11" t="str">
        <f>VLOOKUP(A290&amp;TEXT(D290,"mmmm")&amp;YEAR(D290),'[1]Detalle C-Fecha'!$D:$E,2,FALSE)</f>
        <v>SUC_MEN - Sucursal Mendoza</v>
      </c>
      <c r="D290" s="13">
        <v>46235</v>
      </c>
      <c r="E290" s="19"/>
    </row>
    <row r="291" spans="1:5" x14ac:dyDescent="0.3">
      <c r="A291" s="15" t="s">
        <v>58</v>
      </c>
      <c r="B291" s="9" t="s">
        <v>0</v>
      </c>
      <c r="C291" s="11" t="str">
        <f>VLOOKUP(A291&amp;TEXT(D291,"mmmm")&amp;YEAR(D291),'[1]Detalle C-Fecha'!$D:$E,2,FALSE)</f>
        <v>CMQ_TTE - QUILMES TTE</v>
      </c>
      <c r="D291" s="13">
        <v>46235</v>
      </c>
      <c r="E291" s="19"/>
    </row>
    <row r="292" spans="1:5" x14ac:dyDescent="0.3">
      <c r="A292" s="15" t="s">
        <v>57</v>
      </c>
      <c r="B292" s="9" t="s">
        <v>0</v>
      </c>
      <c r="C292" s="11" t="str">
        <f>VLOOKUP(A292&amp;TEXT(D292,"mmmm")&amp;YEAR(D292),'[1]Detalle C-Fecha'!$D:$E,2,FALSE)</f>
        <v>Sin Operación</v>
      </c>
      <c r="D292" s="13">
        <v>46235</v>
      </c>
      <c r="E292" s="19"/>
    </row>
    <row r="293" spans="1:5" x14ac:dyDescent="0.3">
      <c r="A293" s="15" t="s">
        <v>159</v>
      </c>
      <c r="B293" s="9" t="s">
        <v>0</v>
      </c>
      <c r="C293" s="11" t="str">
        <f>VLOOKUP(A293&amp;"agosto"&amp;2026,'[1]Detalle C-Fecha'!$D:$E,2,FALSE)</f>
        <v>SUC_MEN - Sucursal Mendoza</v>
      </c>
      <c r="D293" s="13">
        <v>46267.009811886623</v>
      </c>
      <c r="E293" s="19"/>
    </row>
    <row r="294" spans="1:5" x14ac:dyDescent="0.3">
      <c r="A294" s="15" t="s">
        <v>184</v>
      </c>
      <c r="B294" s="9" t="s">
        <v>0</v>
      </c>
      <c r="C294" s="11" t="str">
        <f>VLOOKUP(A294&amp;TEXT(D294,"mmmm")&amp;YEAR(D294),'[1]Detalle C-Fecha'!$D:$E,2,FALSE)</f>
        <v>Unilever - Unilever de Arg. S.A.</v>
      </c>
      <c r="D294" s="13">
        <v>46264.459459679878</v>
      </c>
      <c r="E294" s="19"/>
    </row>
    <row r="295" spans="1:5" x14ac:dyDescent="0.3">
      <c r="A295" s="15" t="s">
        <v>158</v>
      </c>
      <c r="B295" s="9" t="s">
        <v>0</v>
      </c>
      <c r="C295" s="11" t="str">
        <f>VLOOKUP(A295&amp;TEXT(D295,"mmmm")&amp;YEAR(D295),'[1]Detalle C-Fecha'!$D:$E,2,FALSE)</f>
        <v>SUC_CTC - Sucursal Buenos Aires</v>
      </c>
      <c r="D295" s="13">
        <v>46247.753050033985</v>
      </c>
      <c r="E295" s="19"/>
    </row>
    <row r="296" spans="1:5" x14ac:dyDescent="0.3">
      <c r="A296" s="15" t="s">
        <v>56</v>
      </c>
      <c r="B296" s="9" t="s">
        <v>0</v>
      </c>
      <c r="C296" s="11" t="str">
        <f>VLOOKUP(A296&amp;TEXT(D296,"mmmm")&amp;YEAR(D296),'[1]Detalle C-Fecha'!$D:$E,2,FALSE)</f>
        <v>Sin Operación</v>
      </c>
      <c r="D296" s="13">
        <v>46235</v>
      </c>
      <c r="E296" s="19"/>
    </row>
    <row r="297" spans="1:5" x14ac:dyDescent="0.3">
      <c r="A297" s="15" t="s">
        <v>54</v>
      </c>
      <c r="B297" s="9" t="s">
        <v>0</v>
      </c>
      <c r="C297" s="11" t="str">
        <f>VLOOKUP(A297&amp;TEXT(D297,"mmmm")&amp;YEAR(D297),'[1]Detalle C-Fecha'!$D:$E,2,FALSE)</f>
        <v>SUC_MEN - Sucursal Mendoza</v>
      </c>
      <c r="D297" s="13">
        <v>46251.044207766725</v>
      </c>
      <c r="E297" s="19"/>
    </row>
    <row r="298" spans="1:5" x14ac:dyDescent="0.3">
      <c r="A298" s="15" t="s">
        <v>53</v>
      </c>
      <c r="B298" s="9" t="s">
        <v>0</v>
      </c>
      <c r="C298" s="11" t="str">
        <f>VLOOKUP(A298&amp;TEXT(D298,"mmmm")&amp;YEAR(D298),'[1]Detalle C-Fecha'!$D:$E,2,FALSE)</f>
        <v>Sin Operación</v>
      </c>
      <c r="D298" s="13">
        <v>46235</v>
      </c>
      <c r="E298" s="19"/>
    </row>
    <row r="299" spans="1:5" x14ac:dyDescent="0.3">
      <c r="A299" s="15" t="s">
        <v>185</v>
      </c>
      <c r="B299" s="9" t="s">
        <v>0</v>
      </c>
      <c r="C299" s="11" t="str">
        <f>VLOOKUP(A299&amp;"agosto"&amp;2026,'[1]Detalle C-Fecha'!$D:$E,2,FALSE)</f>
        <v>SUC_MEN - Sucursal Mendoza</v>
      </c>
      <c r="D299" s="13">
        <v>46310.551201576898</v>
      </c>
      <c r="E299" s="19"/>
    </row>
    <row r="300" spans="1:5" x14ac:dyDescent="0.3">
      <c r="A300" s="15" t="s">
        <v>52</v>
      </c>
      <c r="B300" s="9" t="s">
        <v>0</v>
      </c>
      <c r="C300" s="11" t="str">
        <f>VLOOKUP(A300&amp;TEXT(D300,"mmmm")&amp;YEAR(D300),'[1]Detalle C-Fecha'!$D:$E,2,FALSE)</f>
        <v>Sin Operación</v>
      </c>
      <c r="D300" s="13">
        <v>46235</v>
      </c>
      <c r="E300" s="19"/>
    </row>
    <row r="301" spans="1:5" x14ac:dyDescent="0.3">
      <c r="A301" s="15" t="s">
        <v>157</v>
      </c>
      <c r="B301" s="9" t="s">
        <v>0</v>
      </c>
      <c r="C301" s="11" t="str">
        <f>VLOOKUP(A301&amp;"agosto"&amp;2026,'[1]Detalle C-Fecha'!$D:$E,2,FALSE)</f>
        <v>CMQ_TTE - QUILMES TTE</v>
      </c>
      <c r="D301" s="13">
        <v>46340.030265264541</v>
      </c>
      <c r="E301" s="19"/>
    </row>
    <row r="302" spans="1:5" x14ac:dyDescent="0.3">
      <c r="A302" s="15" t="s">
        <v>51</v>
      </c>
      <c r="B302" s="9" t="s">
        <v>0</v>
      </c>
      <c r="C302" s="11" t="str">
        <f>VLOOKUP(A302&amp;TEXT(D302,"mmmm")&amp;YEAR(D302),'[1]Detalle C-Fecha'!$D:$E,2,FALSE)</f>
        <v>Sin Operación</v>
      </c>
      <c r="D302" s="13">
        <v>46235</v>
      </c>
      <c r="E302" s="19"/>
    </row>
    <row r="303" spans="1:5" x14ac:dyDescent="0.3">
      <c r="A303" s="15" t="s">
        <v>156</v>
      </c>
      <c r="B303" s="9" t="s">
        <v>0</v>
      </c>
      <c r="C303" s="11" t="str">
        <f>VLOOKUP(A303&amp;"agosto"&amp;2026,'[1]Detalle C-Fecha'!$D:$E,2,FALSE)</f>
        <v>SUC_CTC - Sucursal Buenos Aires</v>
      </c>
      <c r="D303" s="13">
        <v>46287.011880234139</v>
      </c>
      <c r="E303" s="19"/>
    </row>
    <row r="304" spans="1:5" x14ac:dyDescent="0.3">
      <c r="A304" s="15" t="s">
        <v>49</v>
      </c>
      <c r="B304" s="9" t="s">
        <v>0</v>
      </c>
      <c r="C304" s="11" t="str">
        <f>VLOOKUP(A304&amp;TEXT(D304,"mmmm")&amp;YEAR(D304),'[1]Detalle C-Fecha'!$D:$E,2,FALSE)</f>
        <v>Sin Operación</v>
      </c>
      <c r="D304" s="13">
        <v>46235</v>
      </c>
      <c r="E304" s="19"/>
    </row>
    <row r="305" spans="1:5" x14ac:dyDescent="0.3">
      <c r="A305" s="15" t="s">
        <v>155</v>
      </c>
      <c r="B305" s="9" t="s">
        <v>0</v>
      </c>
      <c r="C305" s="11" t="str">
        <f>VLOOKUP(A305&amp;"agosto"&amp;2026,'[1]Detalle C-Fecha'!$D:$E,2,FALSE)</f>
        <v>Papelera - Papelera del Plata S.A - Zarate.</v>
      </c>
      <c r="D305" s="13">
        <v>46323.896810872226</v>
      </c>
      <c r="E305" s="19"/>
    </row>
    <row r="306" spans="1:5" x14ac:dyDescent="0.3">
      <c r="A306" s="15" t="s">
        <v>186</v>
      </c>
      <c r="B306" s="9" t="s">
        <v>0</v>
      </c>
      <c r="C306" s="11" t="str">
        <f>VLOOKUP(A306&amp;"agosto"&amp;2026,'[1]Detalle C-Fecha'!$D:$E,2,FALSE)</f>
        <v>Molca</v>
      </c>
      <c r="D306" s="13">
        <v>46339.773151715948</v>
      </c>
      <c r="E306" s="19"/>
    </row>
    <row r="307" spans="1:5" x14ac:dyDescent="0.3">
      <c r="A307" s="15" t="s">
        <v>48</v>
      </c>
      <c r="B307" s="9" t="s">
        <v>0</v>
      </c>
      <c r="C307" s="11" t="str">
        <f>VLOOKUP(A307&amp;TEXT(D307,"mmmm")&amp;YEAR(D307),'[1]Detalle C-Fecha'!$D:$E,2,FALSE)</f>
        <v>Sin Operación</v>
      </c>
      <c r="D307" s="13">
        <v>46235</v>
      </c>
      <c r="E307" s="19"/>
    </row>
    <row r="308" spans="1:5" x14ac:dyDescent="0.3">
      <c r="A308" s="15" t="s">
        <v>47</v>
      </c>
      <c r="B308" s="9" t="s">
        <v>0</v>
      </c>
      <c r="C308" s="11" t="str">
        <f>VLOOKUP(A308&amp;"agosto"&amp;2026,'[1]Detalle C-Fecha'!$D:$E,2,FALSE)</f>
        <v>JOHNSON - SC JOHNSON DE ARGENTINA SAIC</v>
      </c>
      <c r="D308" s="13">
        <v>46289.076617976869</v>
      </c>
      <c r="E308" s="19"/>
    </row>
    <row r="309" spans="1:5" x14ac:dyDescent="0.3">
      <c r="A309" s="15" t="s">
        <v>187</v>
      </c>
      <c r="B309" s="9" t="s">
        <v>0</v>
      </c>
      <c r="C309" s="11" t="str">
        <f>VLOOKUP(A309&amp;TEXT(D309,"mmmm")&amp;YEAR(D309),'[1]Detalle C-Fecha'!$D:$E,2,FALSE)</f>
        <v>Papelera - Papelera del Plata S.A.</v>
      </c>
      <c r="D309" s="13">
        <v>46235</v>
      </c>
      <c r="E309" s="19"/>
    </row>
    <row r="310" spans="1:5" x14ac:dyDescent="0.3">
      <c r="A310" s="15" t="s">
        <v>46</v>
      </c>
      <c r="B310" s="9" t="s">
        <v>0</v>
      </c>
      <c r="C310" s="11" t="str">
        <f>VLOOKUP(A310&amp;TEXT(D310,"mmmm")&amp;YEAR(D310),'[1]Detalle C-Fecha'!$D:$E,2,FALSE)</f>
        <v>SUC_MEN - Sucursal Mendoza</v>
      </c>
      <c r="D310" s="13">
        <v>46235.00023400021</v>
      </c>
      <c r="E310" s="19"/>
    </row>
    <row r="311" spans="1:5" x14ac:dyDescent="0.3">
      <c r="A311" s="15" t="s">
        <v>45</v>
      </c>
      <c r="B311" s="9" t="s">
        <v>0</v>
      </c>
      <c r="C311" s="11" t="str">
        <f>VLOOKUP(A311&amp;TEXT(D311,"mmmm")&amp;YEAR(D311),'[1]Detalle C-Fecha'!$D:$E,2,FALSE)</f>
        <v>Sin Operación</v>
      </c>
      <c r="D311" s="13">
        <v>46235</v>
      </c>
      <c r="E311" s="19"/>
    </row>
    <row r="312" spans="1:5" x14ac:dyDescent="0.3">
      <c r="A312" s="15" t="s">
        <v>152</v>
      </c>
      <c r="B312" s="9" t="s">
        <v>0</v>
      </c>
      <c r="C312" s="11" t="str">
        <f>VLOOKUP(A312&amp;"agosto"&amp;2026,'[1]Detalle C-Fecha'!$D:$E,2,FALSE)</f>
        <v>Papelera - Papelera del Plata S.A - Zarate.</v>
      </c>
      <c r="D312" s="13">
        <v>46335.368347286581</v>
      </c>
      <c r="E312" s="19"/>
    </row>
    <row r="313" spans="1:5" x14ac:dyDescent="0.3">
      <c r="A313" s="15" t="s">
        <v>151</v>
      </c>
      <c r="B313" s="9" t="s">
        <v>0</v>
      </c>
      <c r="C313" s="11" t="str">
        <f>VLOOKUP(A313&amp;"agosto"&amp;2026,'[1]Detalle C-Fecha'!$D:$E,2,FALSE)</f>
        <v>JOHNSON - SC JOHNSON DE ARGENTINA SAIC</v>
      </c>
      <c r="D313" s="13">
        <v>46360.637631006299</v>
      </c>
      <c r="E313" s="19"/>
    </row>
    <row r="314" spans="1:5" x14ac:dyDescent="0.3">
      <c r="A314" s="15" t="s">
        <v>44</v>
      </c>
      <c r="B314" s="9" t="s">
        <v>0</v>
      </c>
      <c r="C314" s="11" t="str">
        <f>VLOOKUP(A314&amp;TEXT(D314,"mmmm")&amp;YEAR(D314),'[1]Detalle C-Fecha'!$D:$E,2,FALSE)</f>
        <v>Sin Operación</v>
      </c>
      <c r="D314" s="13">
        <v>46235</v>
      </c>
      <c r="E314" s="19"/>
    </row>
    <row r="315" spans="1:5" x14ac:dyDescent="0.3">
      <c r="A315" s="15" t="s">
        <v>150</v>
      </c>
      <c r="B315" s="9" t="s">
        <v>0</v>
      </c>
      <c r="C315" s="11" t="str">
        <f>VLOOKUP(A315&amp;"agosto"&amp;2026,'[1]Detalle C-Fecha'!$D:$E,2,FALSE)</f>
        <v>Unilever - Unilever de Arg. S.A.</v>
      </c>
      <c r="D315" s="13">
        <v>46315.178882470253</v>
      </c>
      <c r="E315" s="19"/>
    </row>
    <row r="316" spans="1:5" x14ac:dyDescent="0.3">
      <c r="A316" s="15" t="s">
        <v>188</v>
      </c>
      <c r="B316" s="9" t="s">
        <v>0</v>
      </c>
      <c r="C316" s="11" t="str">
        <f>VLOOKUP(A316&amp;TEXT(D316,"mmmm")&amp;YEAR(D316),'[1]Detalle C-Fecha'!$D:$E,2,FALSE)</f>
        <v>CCUCoAZA</v>
      </c>
      <c r="D316" s="13">
        <v>46235</v>
      </c>
      <c r="E316" s="19"/>
    </row>
    <row r="317" spans="1:5" x14ac:dyDescent="0.3">
      <c r="A317" s="15" t="s">
        <v>147</v>
      </c>
      <c r="B317" s="9" t="s">
        <v>0</v>
      </c>
      <c r="C317" s="11" t="str">
        <f>VLOOKUP(A317&amp;"agosto"&amp;2026,'[1]Detalle C-Fecha'!$D:$E,2,FALSE)</f>
        <v>Papelera - Papelera del Plata S.A.</v>
      </c>
      <c r="D317" s="13">
        <v>46356.483855082151</v>
      </c>
      <c r="E317" s="19"/>
    </row>
    <row r="318" spans="1:5" x14ac:dyDescent="0.3">
      <c r="A318" s="15" t="s">
        <v>146</v>
      </c>
      <c r="B318" s="9" t="s">
        <v>0</v>
      </c>
      <c r="C318" s="11" t="str">
        <f>VLOOKUP(A318&amp;"agosto"&amp;2026,'[1]Detalle C-Fecha'!$D:$E,2,FALSE)</f>
        <v>Molca</v>
      </c>
      <c r="D318" s="13">
        <v>46319.812309239045</v>
      </c>
      <c r="E318" s="19"/>
    </row>
    <row r="319" spans="1:5" x14ac:dyDescent="0.3">
      <c r="A319" s="15" t="s">
        <v>189</v>
      </c>
      <c r="B319" s="9" t="s">
        <v>0</v>
      </c>
      <c r="C319" s="11" t="str">
        <f>VLOOKUP(A319&amp;"agosto"&amp;2026,'[1]Detalle C-Fecha'!$D:$E,2,FALSE)</f>
        <v>SUC_ROS - Sucursal Rosario</v>
      </c>
      <c r="D319" s="13">
        <v>46342.08500416149</v>
      </c>
      <c r="E319" s="19"/>
    </row>
    <row r="320" spans="1:5" x14ac:dyDescent="0.3">
      <c r="A320" s="15" t="s">
        <v>190</v>
      </c>
      <c r="B320" s="9" t="s">
        <v>0</v>
      </c>
      <c r="C320" s="11" t="str">
        <f>VLOOKUP(A320&amp;TEXT(D320,"mmmm")&amp;YEAR(D320),'[1]Detalle C-Fecha'!$D:$E,2,FALSE)</f>
        <v>CMQ_TTE - QUILMES TTE</v>
      </c>
      <c r="D320" s="13">
        <v>46235</v>
      </c>
      <c r="E320" s="19"/>
    </row>
    <row r="321" spans="1:5" x14ac:dyDescent="0.3">
      <c r="A321" s="15" t="s">
        <v>153</v>
      </c>
      <c r="B321" s="9" t="s">
        <v>0</v>
      </c>
      <c r="C321" s="11" t="str">
        <f>VLOOKUP(A321&amp;"agosto"&amp;2026,'[1]Detalle C-Fecha'!$D:$E,2,FALSE)</f>
        <v>Expreso - Servicios Troncales</v>
      </c>
      <c r="D321" s="13">
        <v>46343.581244851317</v>
      </c>
      <c r="E321" s="19"/>
    </row>
    <row r="322" spans="1:5" x14ac:dyDescent="0.3">
      <c r="A322" s="15" t="s">
        <v>191</v>
      </c>
      <c r="B322" s="9" t="s">
        <v>0</v>
      </c>
      <c r="C322" s="11" t="str">
        <f>VLOOKUP(A322&amp;TEXT(D322,"mmmm")&amp;YEAR(D322),'[1]Detalle C-Fecha'!$D:$E,2,FALSE)</f>
        <v>CMQ_TTE - QUILMES TTE</v>
      </c>
      <c r="D322" s="13">
        <v>46235</v>
      </c>
      <c r="E322" s="19"/>
    </row>
    <row r="323" spans="1:5" x14ac:dyDescent="0.3">
      <c r="A323" s="15" t="s">
        <v>42</v>
      </c>
      <c r="B323" s="9" t="s">
        <v>0</v>
      </c>
      <c r="C323" s="11" t="str">
        <f>VLOOKUP(A323&amp;TEXT(D323,"mmmm")&amp;YEAR(D323),'[1]Detalle C-Fecha'!$D:$E,2,FALSE)</f>
        <v>CENCOMLD - Cencosud SA - Mendoza</v>
      </c>
      <c r="D323" s="13">
        <v>46235</v>
      </c>
      <c r="E323" s="19"/>
    </row>
    <row r="324" spans="1:5" x14ac:dyDescent="0.3">
      <c r="A324" s="15" t="s">
        <v>143</v>
      </c>
      <c r="B324" s="9" t="s">
        <v>0</v>
      </c>
      <c r="C324" s="11" t="str">
        <f>VLOOKUP(A324&amp;"agosto"&amp;2026,'[1]Detalle C-Fecha'!$D:$E,2,FALSE)</f>
        <v>CENCO_MZ - Cencosud SA - Mendoza</v>
      </c>
      <c r="D324" s="13">
        <v>46305.61667669045</v>
      </c>
      <c r="E324" s="19"/>
    </row>
    <row r="325" spans="1:5" x14ac:dyDescent="0.3">
      <c r="A325" s="15" t="s">
        <v>40</v>
      </c>
      <c r="B325" s="9" t="s">
        <v>0</v>
      </c>
      <c r="C325" s="11" t="str">
        <f>VLOOKUP(A325&amp;TEXT(D325,"mmmm")&amp;YEAR(D325),'[1]Detalle C-Fecha'!$D:$E,2,FALSE)</f>
        <v>Unilever - Unilever de Arg. S.A.</v>
      </c>
      <c r="D325" s="13">
        <v>46235</v>
      </c>
      <c r="E325" s="19"/>
    </row>
    <row r="326" spans="1:5" x14ac:dyDescent="0.3">
      <c r="A326" s="15" t="s">
        <v>142</v>
      </c>
      <c r="B326" s="9" t="s">
        <v>0</v>
      </c>
      <c r="C326" s="11" t="str">
        <f>VLOOKUP(A326&amp;"agosto"&amp;2026,'[1]Detalle C-Fecha'!$D:$E,2,FALSE)</f>
        <v>CENCO_MZ - Cencosud SA - Mendoza</v>
      </c>
      <c r="D326" s="13">
        <v>46320.452690307371</v>
      </c>
      <c r="E326" s="19"/>
    </row>
    <row r="327" spans="1:5" x14ac:dyDescent="0.3">
      <c r="A327" s="15" t="s">
        <v>192</v>
      </c>
      <c r="B327" s="9" t="s">
        <v>0</v>
      </c>
      <c r="C327" s="11" t="str">
        <f>VLOOKUP(A327&amp;TEXT(D327,"mmmm")&amp;YEAR(D327),'[1]Detalle C-Fecha'!$D:$E,2,FALSE)</f>
        <v>CMQ_TTE - QUILMES TTE</v>
      </c>
      <c r="D327" s="13">
        <v>46235</v>
      </c>
      <c r="E327" s="19"/>
    </row>
    <row r="328" spans="1:5" x14ac:dyDescent="0.3">
      <c r="A328" s="15" t="s">
        <v>193</v>
      </c>
      <c r="B328" s="9" t="s">
        <v>0</v>
      </c>
      <c r="C328" s="11" t="str">
        <f>VLOOKUP(A328&amp;"agosto"&amp;2026,'[1]Detalle C-Fecha'!$D:$E,2,FALSE)</f>
        <v>CMQ_TTE - QUILMES TTE</v>
      </c>
      <c r="D328" s="13">
        <v>46335.34905232476</v>
      </c>
      <c r="E328" s="19"/>
    </row>
    <row r="329" spans="1:5" x14ac:dyDescent="0.3">
      <c r="A329" s="15" t="s">
        <v>36</v>
      </c>
      <c r="B329" s="9" t="s">
        <v>0</v>
      </c>
      <c r="C329" s="11" t="str">
        <f>VLOOKUP(A329&amp;TEXT(D329,"mmmm")&amp;YEAR(D329),'[1]Detalle C-Fecha'!$D:$E,2,FALSE)</f>
        <v>Papelera - Papelera del Plata S.A - Zarate.</v>
      </c>
      <c r="D329" s="13">
        <v>46247.60237173755</v>
      </c>
      <c r="E329" s="19"/>
    </row>
    <row r="330" spans="1:5" x14ac:dyDescent="0.3">
      <c r="A330" s="15" t="s">
        <v>194</v>
      </c>
      <c r="B330" s="9" t="s">
        <v>0</v>
      </c>
      <c r="C330" s="11" t="str">
        <f>VLOOKUP(A330&amp;TEXT(D330,"mmmm")&amp;YEAR(D330),'[1]Detalle C-Fecha'!$D:$E,2,FALSE)</f>
        <v>SUC_REA - Sucursal Realicó</v>
      </c>
      <c r="D330" s="13">
        <v>46262.916409905345</v>
      </c>
      <c r="E330" s="19"/>
    </row>
    <row r="331" spans="1:5" x14ac:dyDescent="0.3">
      <c r="A331" s="15" t="s">
        <v>35</v>
      </c>
      <c r="B331" s="9" t="s">
        <v>0</v>
      </c>
      <c r="C331" s="11" t="str">
        <f>VLOOKUP(A331&amp;TEXT(D331,"mmmm")&amp;YEAR(D331),'[1]Detalle C-Fecha'!$D:$E,2,FALSE)</f>
        <v>CENCO_MZ - Cencosud SA - Mendoza</v>
      </c>
      <c r="D331" s="13">
        <v>46235</v>
      </c>
      <c r="E331" s="19"/>
    </row>
    <row r="332" spans="1:5" x14ac:dyDescent="0.3">
      <c r="A332" s="15" t="s">
        <v>195</v>
      </c>
      <c r="B332" s="9" t="s">
        <v>0</v>
      </c>
      <c r="C332" s="11" t="str">
        <f>VLOOKUP(A332&amp;TEXT(D332,"mmmm")&amp;YEAR(D332),'[1]Detalle C-Fecha'!$D:$E,2,FALSE)</f>
        <v>CMQ_TTE - QUILMES TTE</v>
      </c>
      <c r="D332" s="13">
        <v>46235</v>
      </c>
      <c r="E332" s="19"/>
    </row>
    <row r="333" spans="1:5" x14ac:dyDescent="0.3">
      <c r="A333" s="15" t="s">
        <v>33</v>
      </c>
      <c r="B333" s="9" t="s">
        <v>0</v>
      </c>
      <c r="C333" s="11" t="str">
        <f>VLOOKUP(A333&amp;TEXT(D333,"mmmm")&amp;YEAR(D333),'[1]Detalle C-Fecha'!$D:$E,2,FALSE)</f>
        <v>SUC_MEN - Sucursal Mendoza</v>
      </c>
      <c r="D333" s="13">
        <v>46235</v>
      </c>
      <c r="E333" s="19"/>
    </row>
    <row r="334" spans="1:5" x14ac:dyDescent="0.3">
      <c r="A334" s="15" t="s">
        <v>196</v>
      </c>
      <c r="B334" s="9" t="s">
        <v>0</v>
      </c>
      <c r="C334" s="11" t="str">
        <f>VLOOKUP(A334&amp;"agosto"&amp;2026,'[1]Detalle C-Fecha'!$D:$E,2,FALSE)</f>
        <v>SUC_MEN - Sucursal Mendoza</v>
      </c>
      <c r="D334" s="13">
        <v>46357.004154206894</v>
      </c>
      <c r="E334" s="19"/>
    </row>
    <row r="335" spans="1:5" x14ac:dyDescent="0.3">
      <c r="A335" s="15" t="s">
        <v>32</v>
      </c>
      <c r="B335" s="9" t="s">
        <v>0</v>
      </c>
      <c r="C335" s="11" t="str">
        <f>VLOOKUP(A335&amp;TEXT(D335,"mmmm")&amp;YEAR(D335),'[1]Detalle C-Fecha'!$D:$E,2,FALSE)</f>
        <v>Sin Operación</v>
      </c>
      <c r="D335" s="13">
        <v>46235</v>
      </c>
      <c r="E335" s="19"/>
    </row>
    <row r="336" spans="1:5" x14ac:dyDescent="0.3">
      <c r="A336" s="15" t="s">
        <v>30</v>
      </c>
      <c r="B336" s="9" t="s">
        <v>0</v>
      </c>
      <c r="C336" s="11" t="str">
        <f>VLOOKUP(A336&amp;"agosto"&amp;2026,'[1]Detalle C-Fecha'!$D:$E,2,FALSE)</f>
        <v>Sin Operación</v>
      </c>
      <c r="D336" s="13">
        <v>46273.127178204726</v>
      </c>
      <c r="E336" s="19"/>
    </row>
    <row r="337" spans="1:5" x14ac:dyDescent="0.3">
      <c r="A337" s="15" t="s">
        <v>197</v>
      </c>
      <c r="B337" s="9" t="s">
        <v>0</v>
      </c>
      <c r="C337" s="11" t="str">
        <f>VLOOKUP(A337&amp;"agosto"&amp;2026,'[1]Detalle C-Fecha'!$D:$E,2,FALSE)</f>
        <v>JOHNSON - SC JOHNSON DE ARGENTINA SAIC</v>
      </c>
      <c r="D337" s="13">
        <v>46310.415875615894</v>
      </c>
      <c r="E337" s="19"/>
    </row>
    <row r="338" spans="1:5" x14ac:dyDescent="0.3">
      <c r="A338" s="15" t="s">
        <v>198</v>
      </c>
      <c r="B338" s="9" t="s">
        <v>0</v>
      </c>
      <c r="C338" s="11" t="str">
        <f>VLOOKUP(A338&amp;"agosto"&amp;2026,'[1]Detalle C-Fecha'!$D:$E,2,FALSE)</f>
        <v>Papelera - Papelera del Plata S.A.</v>
      </c>
      <c r="D338" s="13">
        <v>46327.692109536387</v>
      </c>
      <c r="E338" s="19"/>
    </row>
    <row r="339" spans="1:5" x14ac:dyDescent="0.3">
      <c r="A339" s="15" t="s">
        <v>105</v>
      </c>
      <c r="B339" s="9" t="s">
        <v>0</v>
      </c>
      <c r="C339" s="11" t="str">
        <f>VLOOKUP(A339&amp;"agosto"&amp;2026,'[1]Detalle C-Fecha'!$D:$E,2,FALSE)</f>
        <v>ADA_CH - Danone Arg. S.A. - Chascomus</v>
      </c>
      <c r="D339" s="13">
        <v>46354.824688975423</v>
      </c>
      <c r="E339" s="19"/>
    </row>
    <row r="340" spans="1:5" x14ac:dyDescent="0.3">
      <c r="A340" s="15" t="s">
        <v>106</v>
      </c>
      <c r="B340" s="9" t="s">
        <v>0</v>
      </c>
      <c r="C340" s="11" t="str">
        <f>VLOOKUP(A340&amp;"agosto"&amp;2026,'[1]Detalle C-Fecha'!$D:$E,2,FALSE)</f>
        <v>ADA_CH - Danone Arg. S.A. - Chascomus</v>
      </c>
      <c r="D340" s="13">
        <v>46321.385557600886</v>
      </c>
      <c r="E340" s="19"/>
    </row>
    <row r="341" spans="1:5" x14ac:dyDescent="0.3">
      <c r="A341" s="15" t="s">
        <v>140</v>
      </c>
      <c r="B341" s="9" t="s">
        <v>0</v>
      </c>
      <c r="C341" s="11" t="str">
        <f>VLOOKUP(A341&amp;"agosto"&amp;2026,'[1]Detalle C-Fecha'!$D:$E,2,FALSE)</f>
        <v>ADA_CH - Danone Arg. S.A. - Chascomus</v>
      </c>
      <c r="D341" s="13">
        <v>46330.398768669344</v>
      </c>
      <c r="E341" s="19"/>
    </row>
    <row r="342" spans="1:5" x14ac:dyDescent="0.3">
      <c r="A342" s="15" t="s">
        <v>136</v>
      </c>
      <c r="B342" s="9" t="s">
        <v>0</v>
      </c>
      <c r="C342" s="11" t="str">
        <f>VLOOKUP(A342&amp;"agosto"&amp;2026,'[1]Detalle C-Fecha'!$D:$E,2,FALSE)</f>
        <v>Expreso - Servicios Troncales</v>
      </c>
      <c r="D342" s="13">
        <v>46299.001569783868</v>
      </c>
      <c r="E342" s="19"/>
    </row>
    <row r="343" spans="1:5" x14ac:dyDescent="0.3">
      <c r="A343" s="15" t="s">
        <v>199</v>
      </c>
      <c r="B343" s="9" t="s">
        <v>0</v>
      </c>
      <c r="C343" s="11" t="str">
        <f>VLOOKUP(A343&amp;"agosto"&amp;2026,'[1]Detalle C-Fecha'!$D:$E,2,FALSE)</f>
        <v>Arcor S.A.I.C.</v>
      </c>
      <c r="D343" s="13">
        <v>46302.027786177568</v>
      </c>
      <c r="E343" s="19"/>
    </row>
    <row r="344" spans="1:5" x14ac:dyDescent="0.3">
      <c r="A344" s="15" t="s">
        <v>28</v>
      </c>
      <c r="B344" s="9" t="s">
        <v>0</v>
      </c>
      <c r="C344" s="11" t="str">
        <f>VLOOKUP(A344&amp;TEXT(D344,"mmmm")&amp;YEAR(D344),'[1]Detalle C-Fecha'!$D:$E,2,FALSE)</f>
        <v>CENCOMLD - Cencosud SA - Mendoza</v>
      </c>
      <c r="D344" s="13">
        <v>46242.192156506717</v>
      </c>
      <c r="E344" s="19"/>
    </row>
    <row r="345" spans="1:5" x14ac:dyDescent="0.3">
      <c r="A345" s="15" t="s">
        <v>111</v>
      </c>
      <c r="B345" s="9" t="s">
        <v>0</v>
      </c>
      <c r="C345" s="11" t="str">
        <f>VLOOKUP(A345&amp;"agosto"&amp;2026,'[1]Detalle C-Fecha'!$D:$E,2,FALSE)</f>
        <v>CENCOMLD - Cencosud SA - Mendoza</v>
      </c>
      <c r="D345" s="13">
        <v>46331.504335502483</v>
      </c>
      <c r="E345" s="19"/>
    </row>
    <row r="346" spans="1:5" x14ac:dyDescent="0.3">
      <c r="A346" s="15" t="s">
        <v>27</v>
      </c>
      <c r="B346" s="9" t="s">
        <v>0</v>
      </c>
      <c r="C346" s="11" t="str">
        <f>VLOOKUP(A346&amp;TEXT(D346,"mmmm")&amp;YEAR(D346),'[1]Detalle C-Fecha'!$D:$E,2,FALSE)</f>
        <v>CENCOMLD - Cencosud SA - Mendoza</v>
      </c>
      <c r="D346" s="13">
        <v>46240.680609712479</v>
      </c>
      <c r="E346" s="19"/>
    </row>
    <row r="347" spans="1:5" x14ac:dyDescent="0.3">
      <c r="A347" s="15" t="s">
        <v>26</v>
      </c>
      <c r="B347" s="9" t="s">
        <v>0</v>
      </c>
      <c r="C347" s="11" t="str">
        <f>VLOOKUP(A347&amp;TEXT(D347,"mmmm")&amp;YEAR(D347),'[1]Detalle C-Fecha'!$D:$E,2,FALSE)</f>
        <v>CENCOMLD - Cencosud SA - Mendoza</v>
      </c>
      <c r="D347" s="13">
        <v>46235</v>
      </c>
      <c r="E347" s="19"/>
    </row>
    <row r="348" spans="1:5" x14ac:dyDescent="0.3">
      <c r="A348" s="15" t="s">
        <v>138</v>
      </c>
      <c r="B348" s="9" t="s">
        <v>0</v>
      </c>
      <c r="C348" s="11" t="str">
        <f>VLOOKUP(A348&amp;TEXT(D348,"mmmm")&amp;YEAR(D348),'[1]Detalle C-Fecha'!$D:$E,2,FALSE)</f>
        <v>CENCOMLD - Cencosud SA - Mendoza</v>
      </c>
      <c r="D348" s="13">
        <v>46264.47086259738</v>
      </c>
      <c r="E348" s="19"/>
    </row>
    <row r="349" spans="1:5" x14ac:dyDescent="0.3">
      <c r="A349" s="15" t="s">
        <v>25</v>
      </c>
      <c r="B349" s="9" t="s">
        <v>0</v>
      </c>
      <c r="C349" s="11" t="str">
        <f>VLOOKUP(A349&amp;"agosto"&amp;2026,'[1]Detalle C-Fecha'!$D:$E,2,FALSE)</f>
        <v>CENCOMLD - Cencosud SA - Mendoza</v>
      </c>
      <c r="D349" s="13">
        <v>46302.936936794496</v>
      </c>
      <c r="E349" s="19"/>
    </row>
    <row r="350" spans="1:5" x14ac:dyDescent="0.3">
      <c r="A350" s="15" t="s">
        <v>88</v>
      </c>
      <c r="B350" s="9" t="s">
        <v>0</v>
      </c>
      <c r="C350" s="11" t="str">
        <f>VLOOKUP(A350&amp;"agosto"&amp;2026,'[1]Detalle C-Fecha'!$D:$E,2,FALSE)</f>
        <v>Expreso - Servicios Troncales</v>
      </c>
      <c r="D350" s="13">
        <v>46269.232286950813</v>
      </c>
      <c r="E350" s="19"/>
    </row>
    <row r="351" spans="1:5" x14ac:dyDescent="0.3">
      <c r="A351" s="15" t="s">
        <v>24</v>
      </c>
      <c r="B351" s="9" t="s">
        <v>0</v>
      </c>
      <c r="C351" s="11" t="str">
        <f>VLOOKUP(A351&amp;TEXT(D351,"mmmm")&amp;YEAR(D351),'[1]Detalle C-Fecha'!$D:$E,2,FALSE)</f>
        <v>CMQ_TTE - QUILMES TTE</v>
      </c>
      <c r="D351" s="13">
        <v>46235</v>
      </c>
      <c r="E351" s="19"/>
    </row>
    <row r="352" spans="1:5" x14ac:dyDescent="0.3">
      <c r="A352" s="15" t="s">
        <v>200</v>
      </c>
      <c r="B352" s="9" t="s">
        <v>0</v>
      </c>
      <c r="C352" s="11" t="str">
        <f>VLOOKUP(A352&amp;"agosto"&amp;2026,'[1]Detalle C-Fecha'!$D:$E,2,FALSE)</f>
        <v>Unilever - Unilever de Arg. S.A.</v>
      </c>
      <c r="D352" s="13">
        <v>46322.854605431727</v>
      </c>
      <c r="E352" s="19"/>
    </row>
    <row r="353" spans="1:5" x14ac:dyDescent="0.3">
      <c r="A353" s="15" t="s">
        <v>130</v>
      </c>
      <c r="B353" s="9" t="s">
        <v>0</v>
      </c>
      <c r="C353" s="11" t="str">
        <f>VLOOKUP(A353&amp;"agosto"&amp;2026,'[1]Detalle C-Fecha'!$D:$E,2,FALSE)</f>
        <v>Expreso - Servicios Troncales</v>
      </c>
      <c r="D353" s="13">
        <v>46266.622808531276</v>
      </c>
      <c r="E353" s="19"/>
    </row>
    <row r="354" spans="1:5" x14ac:dyDescent="0.3">
      <c r="A354" s="15" t="s">
        <v>22</v>
      </c>
      <c r="B354" s="9" t="s">
        <v>0</v>
      </c>
      <c r="C354" s="11" t="str">
        <f>VLOOKUP(A354&amp;"agosto"&amp;2026,'[1]Detalle C-Fecha'!$D:$E,2,FALSE)</f>
        <v>Expreso - Servicios Troncales</v>
      </c>
      <c r="D354" s="13">
        <v>46285.963691299083</v>
      </c>
      <c r="E354" s="19"/>
    </row>
    <row r="355" spans="1:5" x14ac:dyDescent="0.3">
      <c r="A355" s="15" t="s">
        <v>21</v>
      </c>
      <c r="B355" s="9" t="s">
        <v>0</v>
      </c>
      <c r="C355" s="11" t="str">
        <f>VLOOKUP(A355&amp;TEXT(D355,"mmmm")&amp;YEAR(D355),'[1]Detalle C-Fecha'!$D:$E,2,FALSE)</f>
        <v>Expreso - Servicios Troncales</v>
      </c>
      <c r="D355" s="13">
        <v>46263.786141505712</v>
      </c>
      <c r="E355" s="19"/>
    </row>
    <row r="356" spans="1:5" x14ac:dyDescent="0.3">
      <c r="A356" s="15" t="s">
        <v>20</v>
      </c>
      <c r="B356" s="9" t="s">
        <v>0</v>
      </c>
      <c r="C356" s="11" t="str">
        <f>VLOOKUP(A356&amp;TEXT(D356,"mmmm")&amp;YEAR(D356),'[1]Detalle C-Fecha'!$D:$E,2,FALSE)</f>
        <v>CENCOMLD - Cencosud SA - Mendoza</v>
      </c>
      <c r="D356" s="13">
        <v>46235</v>
      </c>
      <c r="E356" s="19"/>
    </row>
    <row r="357" spans="1:5" x14ac:dyDescent="0.3">
      <c r="A357" s="15" t="s">
        <v>201</v>
      </c>
      <c r="B357" s="9" t="s">
        <v>0</v>
      </c>
      <c r="C357" s="11" t="str">
        <f>VLOOKUP(A357&amp;"agosto"&amp;2026,'[1]Detalle C-Fecha'!$D:$E,2,FALSE)</f>
        <v>Molca</v>
      </c>
      <c r="D357" s="13">
        <v>46311.744026369335</v>
      </c>
      <c r="E357" s="19"/>
    </row>
    <row r="358" spans="1:5" x14ac:dyDescent="0.3">
      <c r="A358" s="15" t="s">
        <v>202</v>
      </c>
      <c r="B358" s="9" t="s">
        <v>0</v>
      </c>
      <c r="C358" s="11" t="str">
        <f>VLOOKUP(A358&amp;TEXT(D358,"mmmm")&amp;YEAR(D358),'[1]Detalle C-Fecha'!$D:$E,2,FALSE)</f>
        <v>Arcor S.A.I.C.</v>
      </c>
      <c r="D358" s="13">
        <v>46235</v>
      </c>
      <c r="E358" s="19"/>
    </row>
    <row r="359" spans="1:5" x14ac:dyDescent="0.3">
      <c r="A359" s="15" t="s">
        <v>19</v>
      </c>
      <c r="B359" s="9" t="s">
        <v>0</v>
      </c>
      <c r="C359" s="11" t="str">
        <f>VLOOKUP(A359&amp;TEXT(D359,"mmmm")&amp;YEAR(D359),'[1]Detalle C-Fecha'!$D:$E,2,FALSE)</f>
        <v>Molca</v>
      </c>
      <c r="D359" s="13">
        <v>46251.419850369261</v>
      </c>
      <c r="E359" s="19"/>
    </row>
    <row r="360" spans="1:5" x14ac:dyDescent="0.3">
      <c r="A360" s="15" t="s">
        <v>134</v>
      </c>
      <c r="B360" s="9" t="s">
        <v>0</v>
      </c>
      <c r="C360" s="11" t="str">
        <f>VLOOKUP(A360&amp;"agosto"&amp;2026,'[1]Detalle C-Fecha'!$D:$E,2,FALSE)</f>
        <v>ADA_CH - Danone Arg. S.A. - Chascomus</v>
      </c>
      <c r="D360" s="13">
        <v>46271.843089397582</v>
      </c>
      <c r="E360" s="19"/>
    </row>
    <row r="361" spans="1:5" x14ac:dyDescent="0.3">
      <c r="A361" s="15" t="s">
        <v>17</v>
      </c>
      <c r="B361" s="9" t="s">
        <v>0</v>
      </c>
      <c r="C361" s="11" t="str">
        <f>VLOOKUP(A361&amp;"agosto"&amp;2026,'[1]Detalle C-Fecha'!$D:$E,2,FALSE)</f>
        <v>ADA_CH - Danone Arg. S.A. - Chascomus</v>
      </c>
      <c r="D361" s="13">
        <v>46345.666793608238</v>
      </c>
      <c r="E361" s="19"/>
    </row>
    <row r="362" spans="1:5" x14ac:dyDescent="0.3">
      <c r="A362" s="15" t="s">
        <v>16</v>
      </c>
      <c r="B362" s="9" t="s">
        <v>0</v>
      </c>
      <c r="C362" s="11" t="str">
        <f>VLOOKUP(A362&amp;TEXT(D362,"mmmm")&amp;YEAR(D362),'[1]Detalle C-Fecha'!$D:$E,2,FALSE)</f>
        <v>ADA_CH - Danone Arg. S.A. - Chascomus</v>
      </c>
      <c r="D362" s="13">
        <v>46247.222628655509</v>
      </c>
      <c r="E362" s="19"/>
    </row>
    <row r="363" spans="1:5" x14ac:dyDescent="0.3">
      <c r="A363" s="15" t="s">
        <v>15</v>
      </c>
      <c r="B363" s="9" t="s">
        <v>0</v>
      </c>
      <c r="C363" s="11" t="str">
        <f>VLOOKUP(A363&amp;TEXT(D363,"mmmm")&amp;YEAR(D363),'[1]Detalle C-Fecha'!$D:$E,2,FALSE)</f>
        <v>ADA_CH - Danone Arg. S.A. - Chascomus</v>
      </c>
      <c r="D363" s="13">
        <v>46235</v>
      </c>
      <c r="E363" s="19"/>
    </row>
    <row r="364" spans="1:5" x14ac:dyDescent="0.3">
      <c r="A364" s="15" t="s">
        <v>14</v>
      </c>
      <c r="B364" s="9" t="s">
        <v>0</v>
      </c>
      <c r="C364" s="11" t="str">
        <f>VLOOKUP(A364&amp;TEXT(D364,"mmmm")&amp;YEAR(D364),'[1]Detalle C-Fecha'!$D:$E,2,FALSE)</f>
        <v>ADA_CH - Danone Arg. S.A. - Chascomus</v>
      </c>
      <c r="D364" s="13">
        <v>46259.422917214877</v>
      </c>
      <c r="E364" s="19"/>
    </row>
    <row r="365" spans="1:5" x14ac:dyDescent="0.3">
      <c r="A365" s="15" t="s">
        <v>129</v>
      </c>
      <c r="B365" s="9" t="s">
        <v>0</v>
      </c>
      <c r="C365" s="11" t="str">
        <f>VLOOKUP(A365&amp;"agosto"&amp;2026,'[1]Detalle C-Fecha'!$D:$E,2,FALSE)</f>
        <v>ADA_CH - Danone Arg. S.A. - Chascomus</v>
      </c>
      <c r="D365" s="13">
        <v>46290.222445263527</v>
      </c>
      <c r="E365" s="19"/>
    </row>
    <row r="366" spans="1:5" x14ac:dyDescent="0.3">
      <c r="A366" s="15" t="s">
        <v>13</v>
      </c>
      <c r="B366" s="9" t="s">
        <v>0</v>
      </c>
      <c r="C366" s="11" t="str">
        <f>VLOOKUP(A366&amp;"agosto"&amp;2026,'[1]Detalle C-Fecha'!$D:$E,2,FALSE)</f>
        <v>ADA_CH - Danone Arg. S.A. - Chascomus</v>
      </c>
      <c r="D366" s="13">
        <v>46324.231201063674</v>
      </c>
      <c r="E366" s="19"/>
    </row>
    <row r="367" spans="1:5" x14ac:dyDescent="0.3">
      <c r="A367" s="15" t="s">
        <v>12</v>
      </c>
      <c r="B367" s="9" t="s">
        <v>0</v>
      </c>
      <c r="C367" s="11" t="str">
        <f>VLOOKUP(A367&amp;"agosto"&amp;2026,'[1]Detalle C-Fecha'!$D:$E,2,FALSE)</f>
        <v>CENCOMLD - Cencosud SA - Mendoza</v>
      </c>
      <c r="D367" s="13">
        <v>46290.564326279404</v>
      </c>
      <c r="E367" s="19"/>
    </row>
    <row r="368" spans="1:5" x14ac:dyDescent="0.3">
      <c r="A368" s="15" t="s">
        <v>11</v>
      </c>
      <c r="B368" s="9" t="s">
        <v>0</v>
      </c>
      <c r="C368" s="11" t="str">
        <f>VLOOKUP(A368&amp;"agosto"&amp;2026,'[1]Detalle C-Fecha'!$D:$E,2,FALSE)</f>
        <v>Expreso - Servicios Troncales</v>
      </c>
      <c r="D368" s="13">
        <v>46293.029072215701</v>
      </c>
      <c r="E368" s="19"/>
    </row>
    <row r="369" spans="1:5" x14ac:dyDescent="0.3">
      <c r="A369" s="15" t="s">
        <v>10</v>
      </c>
      <c r="B369" s="9" t="s">
        <v>0</v>
      </c>
      <c r="C369" s="11" t="str">
        <f>VLOOKUP(A369&amp;"agosto"&amp;2026,'[1]Detalle C-Fecha'!$D:$E,2,FALSE)</f>
        <v>Expreso - Servicios Troncales</v>
      </c>
      <c r="D369" s="13">
        <v>46288.583465028154</v>
      </c>
      <c r="E369" s="19"/>
    </row>
    <row r="370" spans="1:5" x14ac:dyDescent="0.3">
      <c r="A370" s="15" t="s">
        <v>9</v>
      </c>
      <c r="B370" s="9" t="s">
        <v>0</v>
      </c>
      <c r="C370" s="11" t="str">
        <f>VLOOKUP(A370&amp;"agosto"&amp;2026,'[1]Detalle C-Fecha'!$D:$E,2,FALSE)</f>
        <v>Expreso - Servicios Troncales</v>
      </c>
      <c r="D370" s="13">
        <v>46268.704865083331</v>
      </c>
      <c r="E370" s="19"/>
    </row>
    <row r="371" spans="1:5" x14ac:dyDescent="0.3">
      <c r="A371" s="15" t="s">
        <v>115</v>
      </c>
      <c r="B371" s="9" t="s">
        <v>0</v>
      </c>
      <c r="C371" s="11" t="str">
        <f>VLOOKUP(A371&amp;"agosto"&amp;2026,'[1]Detalle C-Fecha'!$D:$E,2,FALSE)</f>
        <v>CENCOMLD - Cencosud SA - Mendoza</v>
      </c>
      <c r="D371" s="13">
        <v>46350.112877604173</v>
      </c>
      <c r="E371" s="19"/>
    </row>
    <row r="372" spans="1:5" x14ac:dyDescent="0.3">
      <c r="A372" s="15" t="s">
        <v>133</v>
      </c>
      <c r="B372" s="9" t="s">
        <v>0</v>
      </c>
      <c r="C372" s="11" t="str">
        <f>VLOOKUP(A372&amp;"agosto"&amp;2026,'[1]Detalle C-Fecha'!$D:$E,2,FALSE)</f>
        <v>Expreso - Servicios Troncales</v>
      </c>
      <c r="D372" s="13">
        <v>46267.752205651115</v>
      </c>
      <c r="E372" s="19"/>
    </row>
    <row r="373" spans="1:5" x14ac:dyDescent="0.3">
      <c r="A373" s="15" t="s">
        <v>8</v>
      </c>
      <c r="B373" s="9" t="s">
        <v>0</v>
      </c>
      <c r="C373" s="11" t="str">
        <f>VLOOKUP(A373&amp;"agosto"&amp;2026,'[1]Detalle C-Fecha'!$D:$E,2,FALSE)</f>
        <v>Expreso - Servicios Troncales</v>
      </c>
      <c r="D373" s="13">
        <v>46293.765811906684</v>
      </c>
      <c r="E373" s="19"/>
    </row>
    <row r="374" spans="1:5" x14ac:dyDescent="0.3">
      <c r="A374" s="15" t="s">
        <v>7</v>
      </c>
      <c r="B374" s="9" t="s">
        <v>0</v>
      </c>
      <c r="C374" s="11" t="str">
        <f>VLOOKUP(A374&amp;TEXT(D374,"mmmm")&amp;YEAR(D374),'[1]Detalle C-Fecha'!$D:$E,2,FALSE)</f>
        <v>Expreso - Servicios Troncales</v>
      </c>
      <c r="D374" s="13">
        <v>46235</v>
      </c>
      <c r="E374" s="19"/>
    </row>
    <row r="375" spans="1:5" x14ac:dyDescent="0.3">
      <c r="A375" s="15" t="s">
        <v>203</v>
      </c>
      <c r="B375" s="9" t="s">
        <v>0</v>
      </c>
      <c r="C375" s="11" t="str">
        <f>VLOOKUP(A375&amp;"agosto"&amp;2026,'[1]Detalle C-Fecha'!$D:$E,2,FALSE)</f>
        <v>JOHNSON - SC JOHNSON DE ARGENTINA SAIC</v>
      </c>
      <c r="D375" s="13">
        <v>46326.541762809473</v>
      </c>
      <c r="E375" s="19"/>
    </row>
    <row r="376" spans="1:5" x14ac:dyDescent="0.3">
      <c r="A376" s="15" t="s">
        <v>6</v>
      </c>
      <c r="B376" s="9" t="s">
        <v>0</v>
      </c>
      <c r="C376" s="11" t="str">
        <f>VLOOKUP(A376&amp;"agosto"&amp;2026,'[1]Detalle C-Fecha'!$D:$E,2,FALSE)</f>
        <v>Expreso - Servicios Troncales</v>
      </c>
      <c r="D376" s="13">
        <v>46365.940221201286</v>
      </c>
      <c r="E376" s="19"/>
    </row>
    <row r="377" spans="1:5" x14ac:dyDescent="0.3">
      <c r="A377" s="15" t="s">
        <v>5</v>
      </c>
      <c r="B377" s="9" t="s">
        <v>0</v>
      </c>
      <c r="C377" s="11" t="str">
        <f>VLOOKUP(A377&amp;"agosto"&amp;2026,'[1]Detalle C-Fecha'!$D:$E,2,FALSE)</f>
        <v>Expreso - Servicios Troncales</v>
      </c>
      <c r="D377" s="13">
        <v>46298.93605156093</v>
      </c>
      <c r="E377" s="19"/>
    </row>
    <row r="378" spans="1:5" x14ac:dyDescent="0.3">
      <c r="A378" s="15" t="s">
        <v>132</v>
      </c>
      <c r="B378" s="9" t="s">
        <v>0</v>
      </c>
      <c r="C378" s="11" t="str">
        <f>VLOOKUP(A378&amp;"agosto"&amp;2026,'[1]Detalle C-Fecha'!$D:$E,2,FALSE)</f>
        <v>Expreso - Servicios Troncales</v>
      </c>
      <c r="D378" s="13">
        <v>46277.96527068437</v>
      </c>
      <c r="E378" s="19"/>
    </row>
    <row r="379" spans="1:5" x14ac:dyDescent="0.3">
      <c r="A379" s="15" t="s">
        <v>131</v>
      </c>
      <c r="B379" s="9" t="s">
        <v>0</v>
      </c>
      <c r="C379" s="11" t="str">
        <f>VLOOKUP(A379&amp;"agosto"&amp;2026,'[1]Detalle C-Fecha'!$D:$E,2,FALSE)</f>
        <v>Expreso - Servicios Troncales</v>
      </c>
      <c r="D379" s="13">
        <v>46296.07280344663</v>
      </c>
      <c r="E379" s="19"/>
    </row>
    <row r="380" spans="1:5" x14ac:dyDescent="0.3">
      <c r="A380" s="15" t="s">
        <v>3</v>
      </c>
      <c r="B380" s="9" t="s">
        <v>0</v>
      </c>
      <c r="C380" s="11" t="str">
        <f>VLOOKUP(A380&amp;"agosto"&amp;2026,'[1]Detalle C-Fecha'!$D:$E,2,FALSE)</f>
        <v>Expreso - Servicios Troncales</v>
      </c>
      <c r="D380" s="13">
        <v>46276.640810405363</v>
      </c>
      <c r="E380" s="19"/>
    </row>
    <row r="381" spans="1:5" x14ac:dyDescent="0.3">
      <c r="A381" s="15" t="s">
        <v>1</v>
      </c>
      <c r="B381" s="9" t="s">
        <v>0</v>
      </c>
      <c r="C381" s="11" t="str">
        <f>VLOOKUP(A381&amp;TEXT(D381,"mmmm")&amp;YEAR(D381),'[1]Detalle C-Fecha'!$D:$E,2,FALSE)</f>
        <v>Expreso - Servicios Troncales</v>
      </c>
      <c r="D381" s="13">
        <v>46235</v>
      </c>
      <c r="E381" s="19"/>
    </row>
  </sheetData>
  <autoFilter ref="A1:E381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165</v>
      </c>
      <c r="B1" s="17" t="s">
        <v>205</v>
      </c>
    </row>
    <row r="2" spans="1:2" x14ac:dyDescent="0.3">
      <c r="A2" s="16" t="s">
        <v>206</v>
      </c>
      <c r="B2" t="s">
        <v>207</v>
      </c>
    </row>
    <row r="3" spans="1:2" x14ac:dyDescent="0.3">
      <c r="A3" s="18" t="s">
        <v>208</v>
      </c>
      <c r="B3" t="s">
        <v>209</v>
      </c>
    </row>
    <row r="4" spans="1:2" x14ac:dyDescent="0.3">
      <c r="A4" s="16" t="s">
        <v>210</v>
      </c>
      <c r="B4" t="s">
        <v>209</v>
      </c>
    </row>
    <row r="5" spans="1:2" x14ac:dyDescent="0.3">
      <c r="A5" s="16" t="s">
        <v>211</v>
      </c>
      <c r="B5" t="s">
        <v>207</v>
      </c>
    </row>
    <row r="6" spans="1:2" x14ac:dyDescent="0.3">
      <c r="A6" s="18" t="s">
        <v>212</v>
      </c>
      <c r="B6" t="s">
        <v>207</v>
      </c>
    </row>
    <row r="7" spans="1:2" x14ac:dyDescent="0.3">
      <c r="A7" s="18" t="s">
        <v>213</v>
      </c>
      <c r="B7" t="s">
        <v>207</v>
      </c>
    </row>
    <row r="8" spans="1:2" x14ac:dyDescent="0.3">
      <c r="A8" s="16" t="s">
        <v>214</v>
      </c>
      <c r="B8" t="s">
        <v>209</v>
      </c>
    </row>
    <row r="9" spans="1:2" x14ac:dyDescent="0.3">
      <c r="A9" s="18" t="s">
        <v>215</v>
      </c>
      <c r="B9" t="s">
        <v>207</v>
      </c>
    </row>
    <row r="10" spans="1:2" x14ac:dyDescent="0.3">
      <c r="A10" s="18" t="s">
        <v>216</v>
      </c>
      <c r="B10" t="s">
        <v>217</v>
      </c>
    </row>
    <row r="11" spans="1:2" x14ac:dyDescent="0.3">
      <c r="A11" s="16" t="s">
        <v>218</v>
      </c>
      <c r="B11" t="s">
        <v>209</v>
      </c>
    </row>
    <row r="12" spans="1:2" x14ac:dyDescent="0.3">
      <c r="A12" s="16" t="s">
        <v>219</v>
      </c>
      <c r="B12" t="s">
        <v>209</v>
      </c>
    </row>
    <row r="13" spans="1:2" x14ac:dyDescent="0.3">
      <c r="A13" s="18" t="s">
        <v>220</v>
      </c>
      <c r="B13" t="s">
        <v>209</v>
      </c>
    </row>
    <row r="14" spans="1:2" x14ac:dyDescent="0.3">
      <c r="A14" s="18" t="s">
        <v>221</v>
      </c>
      <c r="B14" t="s">
        <v>209</v>
      </c>
    </row>
    <row r="15" spans="1:2" x14ac:dyDescent="0.3">
      <c r="A15" s="18" t="s">
        <v>222</v>
      </c>
      <c r="B15" t="s">
        <v>209</v>
      </c>
    </row>
    <row r="16" spans="1:2" x14ac:dyDescent="0.3">
      <c r="A16" s="18" t="s">
        <v>222</v>
      </c>
      <c r="B16" t="s">
        <v>217</v>
      </c>
    </row>
    <row r="17" spans="1:2" x14ac:dyDescent="0.3">
      <c r="A17" s="18" t="s">
        <v>223</v>
      </c>
      <c r="B17" t="s">
        <v>209</v>
      </c>
    </row>
    <row r="18" spans="1:2" x14ac:dyDescent="0.3">
      <c r="A18" s="18" t="s">
        <v>224</v>
      </c>
      <c r="B18" t="s">
        <v>217</v>
      </c>
    </row>
    <row r="19" spans="1:2" x14ac:dyDescent="0.3">
      <c r="A19" s="18" t="s">
        <v>225</v>
      </c>
      <c r="B19" t="s">
        <v>217</v>
      </c>
    </row>
    <row r="20" spans="1:2" x14ac:dyDescent="0.3">
      <c r="A20" s="18" t="s">
        <v>226</v>
      </c>
      <c r="B20" t="s">
        <v>207</v>
      </c>
    </row>
    <row r="21" spans="1:2" x14ac:dyDescent="0.3">
      <c r="A21" s="18" t="s">
        <v>227</v>
      </c>
      <c r="B21" t="s">
        <v>217</v>
      </c>
    </row>
    <row r="22" spans="1:2" x14ac:dyDescent="0.3">
      <c r="A22" s="16" t="s">
        <v>228</v>
      </c>
      <c r="B22" t="s">
        <v>209</v>
      </c>
    </row>
    <row r="23" spans="1:2" x14ac:dyDescent="0.3">
      <c r="A23" s="16" t="s">
        <v>229</v>
      </c>
      <c r="B23" t="s">
        <v>207</v>
      </c>
    </row>
    <row r="24" spans="1:2" x14ac:dyDescent="0.3">
      <c r="A24" s="16" t="s">
        <v>230</v>
      </c>
      <c r="B24" t="s">
        <v>217</v>
      </c>
    </row>
    <row r="25" spans="1:2" x14ac:dyDescent="0.3">
      <c r="A25" s="16" t="s">
        <v>231</v>
      </c>
      <c r="B25" t="s">
        <v>209</v>
      </c>
    </row>
    <row r="26" spans="1:2" x14ac:dyDescent="0.3">
      <c r="A26" s="16" t="s">
        <v>232</v>
      </c>
      <c r="B26" t="s">
        <v>209</v>
      </c>
    </row>
    <row r="27" spans="1:2" x14ac:dyDescent="0.3">
      <c r="A27" s="18" t="s">
        <v>233</v>
      </c>
      <c r="B27" t="s">
        <v>209</v>
      </c>
    </row>
    <row r="28" spans="1:2" x14ac:dyDescent="0.3">
      <c r="A28" s="18" t="s">
        <v>234</v>
      </c>
      <c r="B28" t="s">
        <v>209</v>
      </c>
    </row>
    <row r="29" spans="1:2" x14ac:dyDescent="0.3">
      <c r="A29" s="18" t="s">
        <v>235</v>
      </c>
      <c r="B29" t="s">
        <v>209</v>
      </c>
    </row>
    <row r="30" spans="1:2" x14ac:dyDescent="0.3">
      <c r="A30" s="18" t="s">
        <v>236</v>
      </c>
      <c r="B30" t="s">
        <v>209</v>
      </c>
    </row>
    <row r="31" spans="1:2" x14ac:dyDescent="0.3">
      <c r="A31" s="18" t="s">
        <v>237</v>
      </c>
      <c r="B31" t="s">
        <v>209</v>
      </c>
    </row>
    <row r="32" spans="1:2" x14ac:dyDescent="0.3">
      <c r="A32" s="18" t="s">
        <v>238</v>
      </c>
      <c r="B32" t="s">
        <v>209</v>
      </c>
    </row>
    <row r="33" spans="1:2" x14ac:dyDescent="0.3">
      <c r="A33" s="16" t="s">
        <v>239</v>
      </c>
      <c r="B33" t="s">
        <v>209</v>
      </c>
    </row>
    <row r="34" spans="1:2" x14ac:dyDescent="0.3">
      <c r="A34" s="16" t="s">
        <v>240</v>
      </c>
      <c r="B34" t="s">
        <v>209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2026-08-01T13:46:02Z</dcterms:modified>
</cp:coreProperties>
</file>