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9072"/>
  </bookViews>
  <sheets>
    <sheet name="Planes Año 2026 (2)" sheetId="1" r:id="rId1"/>
    <sheet name="Taller" sheetId="2" r:id="rId2"/>
  </sheets>
  <externalReferences>
    <externalReference r:id="rId3"/>
  </externalReferences>
  <definedNames>
    <definedName name="_xlnm._FilterDatabase" localSheetId="0" hidden="1">'Planes Año 2026 (2)'!$A$1:$E$361</definedName>
    <definedName name="_xlnm._FilterDatabase" localSheetId="1" hidden="1">Taller!$A$1:$B$34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26" i="1" l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0" i="1" l="1"/>
  <c r="C359" i="1"/>
  <c r="C358" i="1"/>
  <c r="C357" i="1"/>
  <c r="C355" i="1"/>
  <c r="C354" i="1"/>
  <c r="C350" i="1"/>
  <c r="C347" i="1"/>
  <c r="C344" i="1"/>
  <c r="C343" i="1"/>
  <c r="C339" i="1"/>
  <c r="C337" i="1"/>
  <c r="C336" i="1"/>
  <c r="C335" i="1"/>
  <c r="C334" i="1"/>
  <c r="C333" i="1"/>
  <c r="C332" i="1"/>
  <c r="C331" i="1"/>
  <c r="C329" i="1"/>
  <c r="C323" i="1"/>
  <c r="C321" i="1"/>
  <c r="C319" i="1"/>
  <c r="C316" i="1"/>
  <c r="C314" i="1"/>
  <c r="C313" i="1"/>
  <c r="C312" i="1"/>
  <c r="C310" i="1"/>
  <c r="C308" i="1"/>
  <c r="C307" i="1"/>
  <c r="C302" i="1"/>
  <c r="C301" i="1"/>
  <c r="C298" i="1"/>
  <c r="C296" i="1"/>
  <c r="C285" i="1"/>
  <c r="C284" i="1"/>
  <c r="C280" i="1"/>
  <c r="C277" i="1"/>
  <c r="C276" i="1"/>
  <c r="C274" i="1"/>
  <c r="C271" i="1"/>
  <c r="C259" i="1"/>
  <c r="C251" i="1"/>
  <c r="C249" i="1"/>
  <c r="C361" i="1"/>
  <c r="C356" i="1"/>
  <c r="C353" i="1"/>
  <c r="C352" i="1"/>
  <c r="C351" i="1"/>
  <c r="C349" i="1"/>
  <c r="C348" i="1"/>
  <c r="C346" i="1"/>
  <c r="C345" i="1"/>
  <c r="C342" i="1"/>
  <c r="C341" i="1"/>
  <c r="C340" i="1"/>
  <c r="C338" i="1"/>
  <c r="C330" i="1"/>
  <c r="C328" i="1"/>
  <c r="C327" i="1"/>
  <c r="C326" i="1"/>
  <c r="C325" i="1"/>
  <c r="C324" i="1"/>
  <c r="C322" i="1"/>
  <c r="C320" i="1"/>
  <c r="C318" i="1"/>
  <c r="C317" i="1"/>
  <c r="C315" i="1"/>
  <c r="C311" i="1"/>
  <c r="C309" i="1"/>
  <c r="C306" i="1"/>
  <c r="C305" i="1"/>
  <c r="C304" i="1"/>
  <c r="C303" i="1"/>
  <c r="C300" i="1"/>
  <c r="C299" i="1"/>
  <c r="C297" i="1"/>
  <c r="C295" i="1"/>
  <c r="C294" i="1"/>
  <c r="C293" i="1"/>
  <c r="C292" i="1"/>
  <c r="C291" i="1"/>
  <c r="C290" i="1"/>
  <c r="C289" i="1"/>
  <c r="C288" i="1"/>
  <c r="C287" i="1"/>
  <c r="C286" i="1"/>
  <c r="C283" i="1"/>
  <c r="C282" i="1"/>
  <c r="C281" i="1"/>
  <c r="C279" i="1"/>
  <c r="C278" i="1"/>
  <c r="C275" i="1"/>
  <c r="C273" i="1"/>
  <c r="C272" i="1"/>
  <c r="C270" i="1"/>
  <c r="C269" i="1"/>
  <c r="C268" i="1"/>
  <c r="C267" i="1"/>
  <c r="C266" i="1"/>
  <c r="C265" i="1"/>
  <c r="C264" i="1"/>
  <c r="C263" i="1"/>
  <c r="C262" i="1"/>
  <c r="C261" i="1"/>
  <c r="C260" i="1"/>
  <c r="C258" i="1"/>
  <c r="C257" i="1"/>
  <c r="C256" i="1"/>
  <c r="C255" i="1"/>
  <c r="C254" i="1"/>
  <c r="C253" i="1"/>
  <c r="C252" i="1"/>
  <c r="C250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<sst xmlns="http://schemas.openxmlformats.org/spreadsheetml/2006/main" count="923" uniqueCount="245">
  <si>
    <t>2/3/6M</t>
  </si>
  <si>
    <t>SOC883</t>
  </si>
  <si>
    <t>RNX412</t>
  </si>
  <si>
    <t>OJG103</t>
  </si>
  <si>
    <t>OAF642</t>
  </si>
  <si>
    <t>OAF641</t>
  </si>
  <si>
    <t>OAF640</t>
  </si>
  <si>
    <t>KUF605</t>
  </si>
  <si>
    <t>AG300AQ</t>
  </si>
  <si>
    <t>LFK336</t>
  </si>
  <si>
    <t>AE700VS</t>
  </si>
  <si>
    <t>AE700VN</t>
  </si>
  <si>
    <t>LTS288</t>
  </si>
  <si>
    <t>AD426HV</t>
  </si>
  <si>
    <t>AD426IH</t>
  </si>
  <si>
    <t>AD426IF</t>
  </si>
  <si>
    <t>AD426IJ</t>
  </si>
  <si>
    <t>AD426HY</t>
  </si>
  <si>
    <t>AD426HW</t>
  </si>
  <si>
    <t>JKG664</t>
  </si>
  <si>
    <t>LRN157</t>
  </si>
  <si>
    <t>LFK338</t>
  </si>
  <si>
    <t>KBO542</t>
  </si>
  <si>
    <t>KJH882</t>
  </si>
  <si>
    <t>JEB635</t>
  </si>
  <si>
    <t>AG269WH</t>
  </si>
  <si>
    <t>AF148MS</t>
  </si>
  <si>
    <t>AF118QA</t>
  </si>
  <si>
    <t>AE787OQ</t>
  </si>
  <si>
    <t>AG043HA</t>
  </si>
  <si>
    <t>KHS009</t>
  </si>
  <si>
    <t>KBO540</t>
  </si>
  <si>
    <t>JXZ993</t>
  </si>
  <si>
    <t>GKK500</t>
  </si>
  <si>
    <t>AF066NX</t>
  </si>
  <si>
    <t>HRJ003</t>
  </si>
  <si>
    <t>HKW894</t>
  </si>
  <si>
    <t>AF746EN</t>
  </si>
  <si>
    <t>AG176NA</t>
  </si>
  <si>
    <t>AG176NB</t>
  </si>
  <si>
    <t>AB029TN</t>
  </si>
  <si>
    <t>GUW657</t>
  </si>
  <si>
    <t>OZH811</t>
  </si>
  <si>
    <t>GLT551</t>
  </si>
  <si>
    <t>FVO108</t>
  </si>
  <si>
    <t>FVO107</t>
  </si>
  <si>
    <t>GRE073</t>
  </si>
  <si>
    <t>GTE288</t>
  </si>
  <si>
    <t>FVK506</t>
  </si>
  <si>
    <t>FQT893</t>
  </si>
  <si>
    <t>FQT892</t>
  </si>
  <si>
    <t>FHK364</t>
  </si>
  <si>
    <t>FFV166</t>
  </si>
  <si>
    <t>FFV165</t>
  </si>
  <si>
    <t>AF156NM</t>
  </si>
  <si>
    <t>AF156NJ</t>
  </si>
  <si>
    <t>FFO440</t>
  </si>
  <si>
    <t>FEQ601</t>
  </si>
  <si>
    <t>AF148ME</t>
  </si>
  <si>
    <t>AE794VC</t>
  </si>
  <si>
    <t>BRJ211</t>
  </si>
  <si>
    <t>BJH275</t>
  </si>
  <si>
    <t>BJG486</t>
  </si>
  <si>
    <t>HNL373</t>
  </si>
  <si>
    <t>JIL525</t>
  </si>
  <si>
    <t>AF743LB</t>
  </si>
  <si>
    <t>AF542LX</t>
  </si>
  <si>
    <t>GDR526</t>
  </si>
  <si>
    <t>AF156NL</t>
  </si>
  <si>
    <t>AF156NK</t>
  </si>
  <si>
    <t>NIE155</t>
  </si>
  <si>
    <t>NIE154</t>
  </si>
  <si>
    <t>AE243WV</t>
  </si>
  <si>
    <t>KPQ391</t>
  </si>
  <si>
    <t>KPQ390</t>
  </si>
  <si>
    <t>KPQ389</t>
  </si>
  <si>
    <t>KHS025</t>
  </si>
  <si>
    <t>JYQ969</t>
  </si>
  <si>
    <t>JWV371</t>
  </si>
  <si>
    <t>JKQ773</t>
  </si>
  <si>
    <t>FJT707</t>
  </si>
  <si>
    <t>FFJ868</t>
  </si>
  <si>
    <t>AD426HX</t>
  </si>
  <si>
    <t>BNW644</t>
  </si>
  <si>
    <t>AD426HZ</t>
  </si>
  <si>
    <t>AF088ED</t>
  </si>
  <si>
    <t>HPR687</t>
  </si>
  <si>
    <t>LFK337</t>
  </si>
  <si>
    <t>NIE147</t>
  </si>
  <si>
    <t>GDR527</t>
  </si>
  <si>
    <t>AF613YZ</t>
  </si>
  <si>
    <t>OJG101</t>
  </si>
  <si>
    <t>OJG099</t>
  </si>
  <si>
    <t>GOR397</t>
  </si>
  <si>
    <t>OJG097</t>
  </si>
  <si>
    <t>OIC419</t>
  </si>
  <si>
    <t>OHH595</t>
  </si>
  <si>
    <t>OHH590</t>
  </si>
  <si>
    <t>GPL520</t>
  </si>
  <si>
    <t>KBV618</t>
  </si>
  <si>
    <t>OJG063</t>
  </si>
  <si>
    <t>KTC854</t>
  </si>
  <si>
    <t>JKQ774</t>
  </si>
  <si>
    <t>GJC631</t>
  </si>
  <si>
    <t>KNE956</t>
  </si>
  <si>
    <t>AF114FZ</t>
  </si>
  <si>
    <t>OHH589</t>
  </si>
  <si>
    <t>KPQ392</t>
  </si>
  <si>
    <t>KHS026</t>
  </si>
  <si>
    <t>FEQ602</t>
  </si>
  <si>
    <t>AF118QC</t>
  </si>
  <si>
    <t>KUF606</t>
  </si>
  <si>
    <t>OJG098</t>
  </si>
  <si>
    <t>JAD357</t>
  </si>
  <si>
    <t>MYR537</t>
  </si>
  <si>
    <t>AF804RC</t>
  </si>
  <si>
    <t>AF613YX</t>
  </si>
  <si>
    <t>OMQ199</t>
  </si>
  <si>
    <t>JCF735</t>
  </si>
  <si>
    <t>GDR525</t>
  </si>
  <si>
    <t>OMQ198</t>
  </si>
  <si>
    <t>KBV620</t>
  </si>
  <si>
    <t>OIC418</t>
  </si>
  <si>
    <t>HNE430</t>
  </si>
  <si>
    <t>KDG188</t>
  </si>
  <si>
    <t>NIE152</t>
  </si>
  <si>
    <t>HRJ004</t>
  </si>
  <si>
    <t>AF804RA</t>
  </si>
  <si>
    <t>AD426HU</t>
  </si>
  <si>
    <t>JIU311</t>
  </si>
  <si>
    <t>OAF644</t>
  </si>
  <si>
    <t>OAF643</t>
  </si>
  <si>
    <t>LFK339</t>
  </si>
  <si>
    <t>AD426HT</t>
  </si>
  <si>
    <t>IDX163</t>
  </si>
  <si>
    <t>KUF609</t>
  </si>
  <si>
    <t>IDX164</t>
  </si>
  <si>
    <t>AG238NS</t>
  </si>
  <si>
    <t>AF804RD</t>
  </si>
  <si>
    <t>AF118QB</t>
  </si>
  <si>
    <t>AF066NS</t>
  </si>
  <si>
    <t>AG079GA</t>
  </si>
  <si>
    <t>KER728</t>
  </si>
  <si>
    <t>AF804RB</t>
  </si>
  <si>
    <t>GJC632</t>
  </si>
  <si>
    <t>GLT552</t>
  </si>
  <si>
    <t>GMJ024</t>
  </si>
  <si>
    <t>GMJ025</t>
  </si>
  <si>
    <t>GNY197</t>
  </si>
  <si>
    <t>GOR390</t>
  </si>
  <si>
    <t>GOX956</t>
  </si>
  <si>
    <t>GOX957</t>
  </si>
  <si>
    <t>GQN688</t>
  </si>
  <si>
    <t>GTE289</t>
  </si>
  <si>
    <t>GVU097</t>
  </si>
  <si>
    <t>IRC117</t>
  </si>
  <si>
    <t>AF619YP</t>
  </si>
  <si>
    <t>AF491HL</t>
  </si>
  <si>
    <t>AF461DQ</t>
  </si>
  <si>
    <t>OHH596</t>
  </si>
  <si>
    <t>KKI233</t>
  </si>
  <si>
    <t>CVF923</t>
  </si>
  <si>
    <t>AF877NC</t>
  </si>
  <si>
    <t>AB320YQ</t>
  </si>
  <si>
    <t>CC</t>
  </si>
  <si>
    <t>Plan</t>
  </si>
  <si>
    <t>Id. Equipo</t>
  </si>
  <si>
    <t xml:space="preserve">Mes </t>
  </si>
  <si>
    <t>AF364MN</t>
  </si>
  <si>
    <t>BVH267</t>
  </si>
  <si>
    <t>DLW395</t>
  </si>
  <si>
    <t>IVD941</t>
  </si>
  <si>
    <t>JJH871</t>
  </si>
  <si>
    <t>JXJ303</t>
  </si>
  <si>
    <t>KMM903</t>
  </si>
  <si>
    <t>KMM904</t>
  </si>
  <si>
    <t>NIE148</t>
  </si>
  <si>
    <t>OHH593</t>
  </si>
  <si>
    <t>OJG065</t>
  </si>
  <si>
    <t>GOX958</t>
  </si>
  <si>
    <t>GFZ650</t>
  </si>
  <si>
    <t>AF865RV</t>
  </si>
  <si>
    <t>HUY047</t>
  </si>
  <si>
    <t>AF461DV</t>
  </si>
  <si>
    <t>AF619YO</t>
  </si>
  <si>
    <t>GUW658</t>
  </si>
  <si>
    <t>GTE287</t>
  </si>
  <si>
    <t>GNY198</t>
  </si>
  <si>
    <t>GJQ699</t>
  </si>
  <si>
    <t>AF653AB</t>
  </si>
  <si>
    <t>AF504DR</t>
  </si>
  <si>
    <t>AF746ED</t>
  </si>
  <si>
    <t>AF639HA</t>
  </si>
  <si>
    <t>HRJ002</t>
  </si>
  <si>
    <t>AF114FN</t>
  </si>
  <si>
    <t>GYB034</t>
  </si>
  <si>
    <t>KHS012</t>
  </si>
  <si>
    <t>NIE150</t>
  </si>
  <si>
    <t>AF672EU</t>
  </si>
  <si>
    <t>IDX165</t>
  </si>
  <si>
    <t>JEB636</t>
  </si>
  <si>
    <t>KJH885</t>
  </si>
  <si>
    <t>PLU468</t>
  </si>
  <si>
    <t>Taller Correspondiente</t>
  </si>
  <si>
    <t>Base</t>
  </si>
  <si>
    <t>CCU_MZA - Comp. Cerv. Unidas - MZA</t>
  </si>
  <si>
    <t>Taller Mendoza</t>
  </si>
  <si>
    <t>CCUCoAZA</t>
  </si>
  <si>
    <t>Taller Buenos Aires</t>
  </si>
  <si>
    <t>CCUDyAZA</t>
  </si>
  <si>
    <t>CENCO_MZ - Cencosud SA - Mendoza</t>
  </si>
  <si>
    <t>CENCO_SJ - Cencosud SA - San Juan</t>
  </si>
  <si>
    <t>CENCOMLD - Cencosud SA - Mendoza</t>
  </si>
  <si>
    <t>CIMSA_BS AS</t>
  </si>
  <si>
    <t>CIMSA_MZA</t>
  </si>
  <si>
    <t>CIMSA_SRA</t>
  </si>
  <si>
    <t>Taller San Rafael</t>
  </si>
  <si>
    <t>AGN_TTE - AGUANORT - Transporte</t>
  </si>
  <si>
    <t>CMQ_TTE - QUILMES TTE</t>
  </si>
  <si>
    <t>T3</t>
  </si>
  <si>
    <t>ADA_CH - Danone Arg. S.A. - Chascomus</t>
  </si>
  <si>
    <t>Expreso - Servicios Troncales</t>
  </si>
  <si>
    <t>SUC_CTC - Sucursal Buenos Aires</t>
  </si>
  <si>
    <t>SUC_GAL - Sucursal General Alvear</t>
  </si>
  <si>
    <t>SUC_MAL - Sucursal Malargüe</t>
  </si>
  <si>
    <t>SUC_MEN - Sucursal Mendoza</t>
  </si>
  <si>
    <t>SUC_REA - Sucursal Realicó</t>
  </si>
  <si>
    <t>SUC_ROS - Sucursal Rosario</t>
  </si>
  <si>
    <t>SUC_SLU - Sucursal San Luis</t>
  </si>
  <si>
    <t>SUC_SRA - Sucursal San Rafael</t>
  </si>
  <si>
    <t>LlaveLay</t>
  </si>
  <si>
    <t>Alfavinil SA</t>
  </si>
  <si>
    <t>Arcor S.A.I.C.</t>
  </si>
  <si>
    <t>JOHNSON - SC JOHNSON DE ARGENTINA SAIC</t>
  </si>
  <si>
    <t>Papelera - Papelera del Plata S.A.</t>
  </si>
  <si>
    <t>Topacio</t>
  </si>
  <si>
    <t>Unilever - Unilever de Arg. S.A.</t>
  </si>
  <si>
    <t>Sin Operación</t>
  </si>
  <si>
    <t>Molca</t>
  </si>
  <si>
    <t>Papelera - Papelera del Plata S.A - Zarate.</t>
  </si>
  <si>
    <t>GOX959</t>
  </si>
  <si>
    <t>AF491HM</t>
  </si>
  <si>
    <t>GRE072</t>
  </si>
  <si>
    <t>AF653AA</t>
  </si>
  <si>
    <t>AF639HB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</si>
</sst>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indexed="65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Font="1" applyAlignment="1"/>
    <xf numFmtId="0" fontId="3" fillId="0" borderId="0" xfId="0" applyFont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0" fillId="4" borderId="0" xfId="0" applyNumberForma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/>
    <xf numFmtId="0" fontId="0" fillId="0" borderId="4" xfId="0" applyFont="1" applyFill="1" applyBorder="1" applyAlignment="1"/>
    <xf numFmtId="0" fontId="0" fillId="0" borderId="5" xfId="0" applyBorder="1"/>
    <xf numFmtId="14" fontId="0" fillId="0" borderId="0" xfId="0" applyNumberFormat="1" applyFont="1" applyAlignment="1"/>
    <xf numFmtId="0" fontId="3" fillId="0" borderId="0" xfId="0" applyFont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</sheetNames>
    <sheetDataSet>
      <sheetData sheetId="0">
        <row r="1">
          <cell r="D1" t="str">
            <v>buscar</v>
          </cell>
          <cell r="E1" t="str">
            <v>OPERACIÓN ASIGNADA 12/2023</v>
          </cell>
        </row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 xml:space="preserve"> 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 xml:space="preserve"> 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 xml:space="preserve"> 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 xml:space="preserve"> 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 xml:space="preserve"> 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 xml:space="preserve"> 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 xml:space="preserve"> 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 xml:space="preserve"> 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 xml:space="preserve"> 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 xml:space="preserve"> 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 xml:space="preserve"> 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 xml:space="preserve"> 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  <row r="15922">
          <cell r="D15922" t="str">
            <v xml:space="preserve"> FVA790Agosto2026</v>
          </cell>
          <cell r="E15922" t="str">
            <v>BAJA</v>
          </cell>
        </row>
        <row r="15923">
          <cell r="D15923" t="str">
            <v>AA009OZAgosto2026</v>
          </cell>
          <cell r="E15923" t="str">
            <v>BAJA</v>
          </cell>
        </row>
        <row r="15924">
          <cell r="D15924" t="str">
            <v>AB010SBAgosto2026</v>
          </cell>
          <cell r="E15924" t="str">
            <v>BAJA</v>
          </cell>
        </row>
        <row r="15925">
          <cell r="D15925" t="str">
            <v>AB010VTAgosto2026</v>
          </cell>
          <cell r="E15925" t="str">
            <v>BAJA</v>
          </cell>
        </row>
        <row r="15926">
          <cell r="D15926" t="str">
            <v>AB029TNAgosto2026</v>
          </cell>
          <cell r="E15926" t="str">
            <v>Unilever - Unilever de Arg. S.A.</v>
          </cell>
        </row>
        <row r="15927">
          <cell r="D15927" t="str">
            <v>AB320YQAgosto2026</v>
          </cell>
          <cell r="E15927" t="str">
            <v>CCU_MZA - Comp. Cerv. Unidas - MZA</v>
          </cell>
        </row>
        <row r="15928">
          <cell r="D15928" t="str">
            <v>AB320YWAgosto2026</v>
          </cell>
          <cell r="E15928" t="str">
            <v>CCUDyAZA</v>
          </cell>
        </row>
        <row r="15929">
          <cell r="D15929" t="str">
            <v>AC354MNAgosto2026</v>
          </cell>
          <cell r="E15929" t="str">
            <v>BAJA</v>
          </cell>
        </row>
        <row r="15930">
          <cell r="D15930" t="str">
            <v>AC794NPAgosto2026</v>
          </cell>
          <cell r="E15930" t="str">
            <v>BAJA</v>
          </cell>
        </row>
        <row r="15931">
          <cell r="D15931" t="str">
            <v>ACT090Agosto2026</v>
          </cell>
          <cell r="E15931" t="str">
            <v>CMQ_TTE - QUILMES TTE</v>
          </cell>
        </row>
        <row r="15932">
          <cell r="D15932" t="str">
            <v>AD367PXAgosto2026</v>
          </cell>
          <cell r="E15932" t="str">
            <v>ADA_CH - Danone Arg. S.A. - Chascomus</v>
          </cell>
        </row>
        <row r="15933">
          <cell r="D15933" t="str">
            <v>AD367PZAgosto2026</v>
          </cell>
          <cell r="E15933" t="str">
            <v>ADA_CH - Danone Arg. S.A. - Chascomus</v>
          </cell>
        </row>
        <row r="15934">
          <cell r="D15934" t="str">
            <v>AD367QAAgosto2026</v>
          </cell>
          <cell r="E15934" t="str">
            <v>ADA_CH - Danone Arg. S.A. - Chascomus</v>
          </cell>
        </row>
        <row r="15935">
          <cell r="D15935" t="str">
            <v>AD367QBAgosto2026</v>
          </cell>
          <cell r="E15935" t="str">
            <v>ADA_CH - Danone Arg. S.A. - Chascomus</v>
          </cell>
        </row>
        <row r="15936">
          <cell r="D15936" t="str">
            <v>AD367QCAgosto2026</v>
          </cell>
          <cell r="E15936" t="str">
            <v>ADA_CH - Danone Arg. S.A. - Chascomus</v>
          </cell>
        </row>
        <row r="15937">
          <cell r="D15937" t="str">
            <v>AD367QDAgosto2026</v>
          </cell>
          <cell r="E15937" t="str">
            <v>ADA_CH - Danone Arg. S.A. - Chascomus</v>
          </cell>
        </row>
        <row r="15938">
          <cell r="D15938" t="str">
            <v>AD367QFAgosto2026</v>
          </cell>
          <cell r="E15938" t="str">
            <v>ADA_CH - Danone Arg. S.A. - Chascomus</v>
          </cell>
        </row>
        <row r="15939">
          <cell r="D15939" t="str">
            <v>AD426HTAgosto2026</v>
          </cell>
          <cell r="E15939" t="str">
            <v>ADA_CH - Danone Arg. S.A. - Chascomus</v>
          </cell>
        </row>
        <row r="15940">
          <cell r="D15940" t="str">
            <v>AD426HUAgosto2026</v>
          </cell>
          <cell r="E15940" t="str">
            <v>ADA_CH - Danone Arg. S.A. - Chascomus</v>
          </cell>
        </row>
        <row r="15941">
          <cell r="D15941" t="str">
            <v>AD426HVAgosto2026</v>
          </cell>
          <cell r="E15941" t="str">
            <v>ADA_CH - Danone Arg. S.A. - Chascomus</v>
          </cell>
        </row>
        <row r="15942">
          <cell r="D15942" t="str">
            <v>AD426HWAgosto2026</v>
          </cell>
          <cell r="E15942" t="str">
            <v>ADA_CH - Danone Arg. S.A. - Chascomus</v>
          </cell>
        </row>
        <row r="15943">
          <cell r="D15943" t="str">
            <v>AD426HXAgosto2026</v>
          </cell>
          <cell r="E15943" t="str">
            <v>ADA_CH - Danone Arg. S.A. - Chascomus</v>
          </cell>
        </row>
        <row r="15944">
          <cell r="D15944" t="str">
            <v>AD426HYAgosto2026</v>
          </cell>
          <cell r="E15944" t="str">
            <v>ADA_CH - Danone Arg. S.A. - Chascomus</v>
          </cell>
        </row>
        <row r="15945">
          <cell r="D15945" t="str">
            <v>AD426HZAgosto2026</v>
          </cell>
          <cell r="E15945" t="str">
            <v>ADA_CH - Danone Arg. S.A. - Chascomus</v>
          </cell>
        </row>
        <row r="15946">
          <cell r="D15946" t="str">
            <v>AD426IFAgosto2026</v>
          </cell>
          <cell r="E15946" t="str">
            <v>ADA_CH - Danone Arg. S.A. - Chascomus</v>
          </cell>
        </row>
        <row r="15947">
          <cell r="D15947" t="str">
            <v>AD426IHAgosto2026</v>
          </cell>
          <cell r="E15947" t="str">
            <v>ADA_CH - Danone Arg. S.A. - Chascomus</v>
          </cell>
        </row>
        <row r="15948">
          <cell r="D15948" t="str">
            <v>AD426IIAgosto2026</v>
          </cell>
          <cell r="E15948" t="str">
            <v>BAJA</v>
          </cell>
        </row>
        <row r="15949">
          <cell r="D15949" t="str">
            <v>AD426IJAgosto2026</v>
          </cell>
          <cell r="E15949" t="str">
            <v>ADA_CH - Danone Arg. S.A. - Chascomus</v>
          </cell>
        </row>
        <row r="15950">
          <cell r="D15950" t="str">
            <v>AE243WVAgosto2026</v>
          </cell>
          <cell r="E15950" t="str">
            <v>CENCOMLD - Cencosud SA - Mendoza</v>
          </cell>
        </row>
        <row r="15951">
          <cell r="D15951" t="str">
            <v>AE297QNAgosto2026</v>
          </cell>
          <cell r="E15951" t="str">
            <v>CMQ_TTE - QUILMES TTE</v>
          </cell>
        </row>
        <row r="15952">
          <cell r="D15952" t="str">
            <v>AE356ZBAgosto2026</v>
          </cell>
          <cell r="E15952" t="str">
            <v>CENCOMLD - Cencosud SA - Mendoza</v>
          </cell>
        </row>
        <row r="15953">
          <cell r="D15953" t="str">
            <v>AE361VQAgosto2026</v>
          </cell>
          <cell r="E15953" t="str">
            <v>BAJA</v>
          </cell>
        </row>
        <row r="15954">
          <cell r="D15954" t="str">
            <v>AE700VNAgosto2026</v>
          </cell>
          <cell r="E15954" t="str">
            <v>Expreso - Servicios Troncales</v>
          </cell>
        </row>
        <row r="15955">
          <cell r="D15955" t="str">
            <v>AE700VSAgosto2026</v>
          </cell>
          <cell r="E15955" t="str">
            <v>Expreso - Servicios Troncales</v>
          </cell>
        </row>
        <row r="15956">
          <cell r="D15956" t="str">
            <v>AE787OQAgosto2026</v>
          </cell>
          <cell r="E15956" t="str">
            <v>CENCOMLD - Cencosud SA - Mendoza</v>
          </cell>
        </row>
        <row r="15957">
          <cell r="D15957" t="str">
            <v>AE794VCAgosto2026</v>
          </cell>
          <cell r="E15957" t="str">
            <v>SUC_MEN - Sucursal Mendoza</v>
          </cell>
        </row>
        <row r="15958">
          <cell r="D15958" t="str">
            <v>AE972ZSAgosto2026</v>
          </cell>
          <cell r="E15958" t="str">
            <v>CENCOMLD - Cencosud SA - Mendoza</v>
          </cell>
        </row>
        <row r="15959">
          <cell r="D15959" t="str">
            <v>AF066NSAgosto2026</v>
          </cell>
          <cell r="E15959" t="str">
            <v>CMQ_TTE - QUILMES TTE</v>
          </cell>
        </row>
        <row r="15960">
          <cell r="D15960" t="str">
            <v>AF066NTAgosto2026</v>
          </cell>
          <cell r="E15960" t="str">
            <v>CMQ_TTE - QUILMES TTE</v>
          </cell>
        </row>
        <row r="15961">
          <cell r="D15961" t="str">
            <v>AF066NUAgosto2026</v>
          </cell>
          <cell r="E15961" t="str">
            <v>CENCO_MZ - Cencosud SA - Mendoza</v>
          </cell>
        </row>
        <row r="15962">
          <cell r="D15962" t="str">
            <v>AF066NXAgosto2026</v>
          </cell>
          <cell r="E15962" t="str">
            <v>CMQ_TTE - QUILMES TTE</v>
          </cell>
        </row>
        <row r="15963">
          <cell r="D15963" t="str">
            <v>AF066NZAgosto2026</v>
          </cell>
          <cell r="E15963" t="str">
            <v>CMQ_TTE - QUILMES TTE</v>
          </cell>
        </row>
        <row r="15964">
          <cell r="D15964" t="str">
            <v>AF088EAAgosto2026</v>
          </cell>
          <cell r="E15964" t="str">
            <v>CMQ_TTE - QUILMES TTE</v>
          </cell>
        </row>
        <row r="15965">
          <cell r="D15965" t="str">
            <v>AF088EDAgosto2026</v>
          </cell>
          <cell r="E15965" t="str">
            <v>CMQ_TTE - QUILMES TTE</v>
          </cell>
        </row>
        <row r="15966">
          <cell r="D15966" t="str">
            <v>AF114FNAgosto2026</v>
          </cell>
          <cell r="E15966" t="str">
            <v>CMQ_TTE - QUILMES TTE</v>
          </cell>
        </row>
        <row r="15967">
          <cell r="D15967" t="str">
            <v>AF114FPAgosto2026</v>
          </cell>
          <cell r="E15967" t="str">
            <v>CMQ_TTE - QUILMES TTE</v>
          </cell>
        </row>
        <row r="15968">
          <cell r="D15968" t="str">
            <v>AF114FZAgosto2026</v>
          </cell>
          <cell r="E15968" t="str">
            <v>ADA_CH - Danone Arg. S.A. - Chascomus</v>
          </cell>
        </row>
        <row r="15969">
          <cell r="D15969" t="str">
            <v>AF118QAAgosto2026</v>
          </cell>
          <cell r="E15969" t="str">
            <v>CENCOMLD - Cencosud SA - Mendoza</v>
          </cell>
        </row>
        <row r="15970">
          <cell r="D15970" t="str">
            <v>AF118QBAgosto2026</v>
          </cell>
          <cell r="E15970" t="str">
            <v>ADA_CH - Danone Arg. S.A. - Chascomus</v>
          </cell>
        </row>
        <row r="15971">
          <cell r="D15971" t="str">
            <v>AF118QCAgosto2026</v>
          </cell>
          <cell r="E15971" t="str">
            <v>CENCOMLD - Cencosud SA - Mendoza</v>
          </cell>
        </row>
        <row r="15972">
          <cell r="D15972" t="str">
            <v>AF148MEAgosto2026</v>
          </cell>
          <cell r="E15972" t="str">
            <v>CMQ_TTE - QUILMES TTE</v>
          </cell>
        </row>
        <row r="15973">
          <cell r="D15973" t="str">
            <v>AF148MSAgosto2026</v>
          </cell>
          <cell r="E15973" t="str">
            <v>CENCOMLD - Cencosud SA - Mendoza</v>
          </cell>
        </row>
        <row r="15974">
          <cell r="D15974" t="str">
            <v>AF156NJAgosto2026</v>
          </cell>
          <cell r="E15974" t="str">
            <v>SUC_SLU - Sucursal San Luis</v>
          </cell>
        </row>
        <row r="15975">
          <cell r="D15975" t="str">
            <v>AF156NKAgosto2026</v>
          </cell>
          <cell r="E15975" t="str">
            <v>SUC_ROS - Sucursal Rosario</v>
          </cell>
        </row>
        <row r="15976">
          <cell r="D15976" t="str">
            <v>AF156NLAgosto2026</v>
          </cell>
          <cell r="E15976" t="str">
            <v>SUC_SRA - Sucursal San Rafael</v>
          </cell>
        </row>
        <row r="15977">
          <cell r="D15977" t="str">
            <v>AF156NMAgosto2026</v>
          </cell>
          <cell r="E15977" t="str">
            <v>SUC_MEN - Sucursal Mendoza</v>
          </cell>
        </row>
        <row r="15978">
          <cell r="D15978" t="str">
            <v>AF239QZAgosto2026</v>
          </cell>
          <cell r="E15978" t="str">
            <v>BAJA</v>
          </cell>
        </row>
        <row r="15979">
          <cell r="D15979" t="str">
            <v>AF247UTAgosto2026</v>
          </cell>
          <cell r="E15979" t="str">
            <v>Expreso - Servicios Troncales</v>
          </cell>
        </row>
        <row r="15980">
          <cell r="D15980" t="str">
            <v>AF247UUAgosto2026</v>
          </cell>
          <cell r="E15980" t="str">
            <v>Expreso - Servicios Troncales</v>
          </cell>
        </row>
        <row r="15981">
          <cell r="D15981" t="str">
            <v>AF338VOAgosto2026</v>
          </cell>
          <cell r="E15981" t="str">
            <v>CMQ_TTE - QUILMES TTE</v>
          </cell>
        </row>
        <row r="15982">
          <cell r="D15982" t="str">
            <v>AF338VPAgosto2026</v>
          </cell>
          <cell r="E15982" t="str">
            <v>BAJA</v>
          </cell>
        </row>
        <row r="15983">
          <cell r="D15983" t="str">
            <v>AF338VQAgosto2026</v>
          </cell>
          <cell r="E15983" t="str">
            <v>CMQ_TTE - QUILMES TTE</v>
          </cell>
        </row>
        <row r="15984">
          <cell r="D15984" t="str">
            <v>AF364MNAgosto2026</v>
          </cell>
          <cell r="E15984" t="str">
            <v>CMQ_TTE - QUILMES TTE</v>
          </cell>
        </row>
        <row r="15985">
          <cell r="D15985" t="str">
            <v>AF370DZAgosto2026</v>
          </cell>
          <cell r="E15985" t="str">
            <v>BAJA</v>
          </cell>
        </row>
        <row r="15986">
          <cell r="D15986" t="str">
            <v>AF371BEAgosto2026</v>
          </cell>
          <cell r="E15986" t="str">
            <v>ADA_CH - Danone Arg. S.A. - Chascomus</v>
          </cell>
        </row>
        <row r="15987">
          <cell r="D15987" t="str">
            <v>AF371BFAgosto2026</v>
          </cell>
          <cell r="E15987" t="str">
            <v>CENCOMLD - Cencosud SA - Mendoza</v>
          </cell>
        </row>
        <row r="15988">
          <cell r="D15988" t="str">
            <v>AF371BGAgosto2026</v>
          </cell>
          <cell r="E15988" t="str">
            <v>ADA_CH - Danone Arg. S.A. - Chascomus</v>
          </cell>
        </row>
        <row r="15989">
          <cell r="D15989" t="str">
            <v>AF371BHAgosto2026</v>
          </cell>
          <cell r="E15989" t="str">
            <v>ADA_CH - Danone Arg. S.A. - Chascomus</v>
          </cell>
        </row>
        <row r="15990">
          <cell r="D15990" t="str">
            <v>AF444TUAgosto2026</v>
          </cell>
          <cell r="E15990" t="str">
            <v>CMQ_TTE - QUILMES TTE</v>
          </cell>
        </row>
        <row r="15991">
          <cell r="D15991" t="str">
            <v>AF444TVAgosto2026</v>
          </cell>
          <cell r="E15991" t="str">
            <v>CMQ_TTE - QUILMES TTE</v>
          </cell>
        </row>
        <row r="15992">
          <cell r="D15992" t="str">
            <v>AF444TWAgosto2026</v>
          </cell>
          <cell r="E15992" t="str">
            <v>CMQ_TTE - QUILMES TTE</v>
          </cell>
        </row>
        <row r="15993">
          <cell r="D15993" t="str">
            <v>AF444TXAgosto2026</v>
          </cell>
          <cell r="E15993" t="str">
            <v>CMQ_TTE - QUILMES TTE</v>
          </cell>
        </row>
        <row r="15994">
          <cell r="D15994" t="str">
            <v>AF461DAAgosto2026</v>
          </cell>
          <cell r="E15994" t="str">
            <v>ADA_CH - Danone Arg. S.A. - Chascomus</v>
          </cell>
        </row>
        <row r="15995">
          <cell r="D15995" t="str">
            <v>AF461DBAgosto2026</v>
          </cell>
          <cell r="E15995" t="str">
            <v>ADA_CH - Danone Arg. S.A. - Chascomus</v>
          </cell>
        </row>
        <row r="15996">
          <cell r="D15996" t="str">
            <v>AF461DCAgosto2026</v>
          </cell>
          <cell r="E15996" t="str">
            <v>ADA_CH - Danone Arg. S.A. - Chascomus</v>
          </cell>
        </row>
        <row r="15997">
          <cell r="D15997" t="str">
            <v>AF461DQAgosto2026</v>
          </cell>
          <cell r="E15997" t="str">
            <v>SUC_MEN - Sucursal Mendoza</v>
          </cell>
        </row>
        <row r="15998">
          <cell r="D15998" t="str">
            <v>AF461DVAgosto2026</v>
          </cell>
          <cell r="E15998" t="str">
            <v>Unilever - Unilever de Arg. S.A.</v>
          </cell>
        </row>
        <row r="15999">
          <cell r="D15999" t="str">
            <v>AF491HLAgosto2026</v>
          </cell>
          <cell r="E15999" t="str">
            <v>SUC_CTC - Sucursal Buenos Aires</v>
          </cell>
        </row>
        <row r="16000">
          <cell r="D16000" t="str">
            <v>AF491HMAgosto2026</v>
          </cell>
          <cell r="E16000" t="str">
            <v>CIMSA_CI</v>
          </cell>
        </row>
        <row r="16001">
          <cell r="D16001" t="str">
            <v>AF504DRAgosto2026</v>
          </cell>
          <cell r="E16001" t="str">
            <v>CMQ_TTE - QUILMES TTE</v>
          </cell>
        </row>
        <row r="16002">
          <cell r="D16002" t="str">
            <v>AF518DMAgosto2026</v>
          </cell>
          <cell r="E16002" t="str">
            <v>CMQ_TTE - QUILMES TTE</v>
          </cell>
        </row>
        <row r="16003">
          <cell r="D16003" t="str">
            <v>AF542LXAgosto2026</v>
          </cell>
          <cell r="E16003" t="str">
            <v>CIMSA_SRA</v>
          </cell>
        </row>
        <row r="16004">
          <cell r="D16004" t="str">
            <v>AF613YXAgosto2026</v>
          </cell>
          <cell r="E16004" t="str">
            <v>CMQ_TTE - QUILMES TTE</v>
          </cell>
        </row>
        <row r="16005">
          <cell r="D16005" t="str">
            <v>AF613YZAgosto2026</v>
          </cell>
          <cell r="E16005" t="str">
            <v>CMQ_TTE - QUILMES TTE</v>
          </cell>
        </row>
        <row r="16006">
          <cell r="D16006" t="str">
            <v>AF619YOAgosto2026</v>
          </cell>
          <cell r="E16006" t="str">
            <v>SUC_MEN - Sucursal Mendoza</v>
          </cell>
        </row>
        <row r="16007">
          <cell r="D16007" t="str">
            <v>AF619YPAgosto2026</v>
          </cell>
          <cell r="E16007" t="str">
            <v>CMQ_TTE - QUILMES TTE</v>
          </cell>
        </row>
        <row r="16008">
          <cell r="D16008" t="str">
            <v>AF639HAAgosto2026</v>
          </cell>
          <cell r="E16008" t="str">
            <v>CMQ_TTE - QUILMES TTE</v>
          </cell>
        </row>
        <row r="16009">
          <cell r="D16009" t="str">
            <v>AF639HBAgosto2026</v>
          </cell>
          <cell r="E16009" t="str">
            <v>CMQ_TTE - QUILMES TTE</v>
          </cell>
        </row>
        <row r="16010">
          <cell r="D16010" t="str">
            <v>AF642OSAgosto2026</v>
          </cell>
          <cell r="E16010" t="str">
            <v>CCUDyAZA</v>
          </cell>
        </row>
        <row r="16011">
          <cell r="D16011" t="str">
            <v>AF642OTAgosto2026</v>
          </cell>
          <cell r="E16011" t="str">
            <v>CMQ_TTE - QUILMES TTE</v>
          </cell>
        </row>
        <row r="16012">
          <cell r="D16012" t="str">
            <v>AF642OUAgosto2026</v>
          </cell>
          <cell r="E16012" t="str">
            <v>CCUDyAZA</v>
          </cell>
        </row>
        <row r="16013">
          <cell r="D16013" t="str">
            <v>AF653AAAgosto2026</v>
          </cell>
          <cell r="E16013" t="str">
            <v>CMQ_TTE - QUILMES TTE</v>
          </cell>
        </row>
        <row r="16014">
          <cell r="D16014" t="str">
            <v>AF653ABAgosto2026</v>
          </cell>
          <cell r="E16014" t="str">
            <v>CMQ_TTE - QUILMES TTE</v>
          </cell>
        </row>
        <row r="16015">
          <cell r="D16015" t="str">
            <v>AF672EUAgosto2026</v>
          </cell>
          <cell r="E16015" t="str">
            <v>Arcor S.A.I.C.</v>
          </cell>
        </row>
        <row r="16016">
          <cell r="D16016" t="str">
            <v>AF722DMAgosto2026</v>
          </cell>
          <cell r="E16016" t="str">
            <v>CMQ_TTE - QUILMES TTE</v>
          </cell>
        </row>
        <row r="16017">
          <cell r="D16017" t="str">
            <v>AF722DNAgosto2026</v>
          </cell>
          <cell r="E16017" t="str">
            <v>CMQ_TTE - QUILMES TTE</v>
          </cell>
        </row>
        <row r="16018">
          <cell r="D16018" t="str">
            <v>AF737MPAgosto2026</v>
          </cell>
          <cell r="E16018" t="str">
            <v>CMQ_TTE - QUILMES TTE</v>
          </cell>
        </row>
        <row r="16019">
          <cell r="D16019" t="str">
            <v>AF737MQAgosto2026</v>
          </cell>
          <cell r="E16019" t="str">
            <v>CMQ_TTE - QUILMES TTE</v>
          </cell>
        </row>
        <row r="16020">
          <cell r="D16020" t="str">
            <v>AF743LBAgosto2026</v>
          </cell>
          <cell r="E16020" t="str">
            <v>ADA_CH - Danone Arg. S.A. - Chascomus</v>
          </cell>
        </row>
        <row r="16021">
          <cell r="D16021" t="str">
            <v>AF746EDAgosto2026</v>
          </cell>
          <cell r="E16021" t="str">
            <v>CMQ_TTE - QUILMES TTE</v>
          </cell>
        </row>
        <row r="16022">
          <cell r="D16022" t="str">
            <v>AF746EMAgosto2026</v>
          </cell>
          <cell r="E16022" t="str">
            <v>CMQ_TTE - QUILMES TTE</v>
          </cell>
        </row>
        <row r="16023">
          <cell r="D16023" t="str">
            <v>AF746ENAgosto2026</v>
          </cell>
          <cell r="E16023" t="str">
            <v>CMQ_TTE - QUILMES TTE</v>
          </cell>
        </row>
        <row r="16024">
          <cell r="D16024" t="str">
            <v>AF804RAAgosto2026</v>
          </cell>
          <cell r="E16024" t="str">
            <v>CENCO_MZ - Cencosud SA - Mendoza</v>
          </cell>
        </row>
        <row r="16025">
          <cell r="D16025" t="str">
            <v>AF804RBAgosto2026</v>
          </cell>
          <cell r="E16025" t="str">
            <v>CCU_MZA - Comp. Cerv. Unidas - MZA</v>
          </cell>
        </row>
        <row r="16026">
          <cell r="D16026" t="str">
            <v>AF804RCAgosto2026</v>
          </cell>
          <cell r="E16026" t="str">
            <v>CCU_MZA - Comp. Cerv. Unidas - MZA</v>
          </cell>
        </row>
        <row r="16027">
          <cell r="D16027" t="str">
            <v>AF804RDAgosto2026</v>
          </cell>
          <cell r="E16027" t="str">
            <v>Arcor S.A.I.C.</v>
          </cell>
        </row>
        <row r="16028">
          <cell r="D16028" t="str">
            <v>AF804REAgosto2026</v>
          </cell>
          <cell r="E16028" t="str">
            <v>CCU_MZA - Comp. Cerv. Unidas - MZA</v>
          </cell>
        </row>
        <row r="16029">
          <cell r="D16029" t="str">
            <v>AF804RFAgosto2026</v>
          </cell>
          <cell r="E16029" t="str">
            <v>CCU_MZA - Comp. Cerv. Unidas - MZA</v>
          </cell>
        </row>
        <row r="16030">
          <cell r="D16030" t="str">
            <v>AF831AFAgosto2026</v>
          </cell>
          <cell r="E16030" t="str">
            <v>CIMSA_CI</v>
          </cell>
        </row>
        <row r="16031">
          <cell r="D16031" t="str">
            <v>AF865RVAgosto2026</v>
          </cell>
          <cell r="E16031" t="str">
            <v>CIMSA_CI</v>
          </cell>
        </row>
        <row r="16032">
          <cell r="D16032" t="str">
            <v>AF877NCAgosto2026</v>
          </cell>
          <cell r="E16032" t="str">
            <v>CENCO_MZ - Cencosud SA - Mendoza</v>
          </cell>
        </row>
        <row r="16033">
          <cell r="D16033" t="str">
            <v>AF918RIAgosto2026</v>
          </cell>
          <cell r="E16033" t="str">
            <v>CMQ_TTE - QUILMES TTE</v>
          </cell>
        </row>
        <row r="16034">
          <cell r="D16034" t="str">
            <v>AF948NAAgosto2026</v>
          </cell>
          <cell r="E16034" t="str">
            <v>CMQ_TTE - QUILMES TTE</v>
          </cell>
        </row>
        <row r="16035">
          <cell r="D16035" t="str">
            <v>AG017HWAgosto2026</v>
          </cell>
          <cell r="E16035" t="str">
            <v>Arcor S.A.I.C.</v>
          </cell>
        </row>
        <row r="16036">
          <cell r="D16036" t="str">
            <v>AG043HAAgosto2026</v>
          </cell>
          <cell r="E16036" t="str">
            <v>Arcor S.A.I.C.</v>
          </cell>
        </row>
        <row r="16037">
          <cell r="D16037" t="str">
            <v>AG054RBAgosto2026</v>
          </cell>
          <cell r="E16037" t="str">
            <v>Expreso - Servicios Troncales</v>
          </cell>
        </row>
        <row r="16038">
          <cell r="D16038" t="str">
            <v>AG054RDAgosto2026</v>
          </cell>
          <cell r="E16038" t="str">
            <v>Expreso - Servicios Troncales</v>
          </cell>
        </row>
        <row r="16039">
          <cell r="D16039" t="str">
            <v>AG054REAgosto2026</v>
          </cell>
          <cell r="E16039" t="str">
            <v>Expreso - Servicios Troncales</v>
          </cell>
        </row>
        <row r="16040">
          <cell r="D16040" t="str">
            <v>AG079GAAgosto2026</v>
          </cell>
          <cell r="E16040" t="str">
            <v>CENCO_MZ - Cencosud SA - Mendoza</v>
          </cell>
        </row>
        <row r="16041">
          <cell r="D16041" t="str">
            <v>AG079GBAgosto2026</v>
          </cell>
          <cell r="E16041" t="str">
            <v>CMQ_TTE - QUILMES TTE</v>
          </cell>
        </row>
        <row r="16042">
          <cell r="D16042" t="str">
            <v>AG095MQAgosto2026</v>
          </cell>
          <cell r="E16042" t="str">
            <v>CMQ_TTE - QUILMES TTE</v>
          </cell>
        </row>
        <row r="16043">
          <cell r="D16043" t="str">
            <v>AG095MRAgosto2026</v>
          </cell>
          <cell r="E16043" t="str">
            <v>CMQ_TTE - QUILMES TTE</v>
          </cell>
        </row>
        <row r="16044">
          <cell r="D16044" t="str">
            <v>AG176NAAgosto2026</v>
          </cell>
          <cell r="E16044" t="str">
            <v>CCUCoAZA</v>
          </cell>
        </row>
        <row r="16045">
          <cell r="D16045" t="str">
            <v>AG176NBAgosto2026</v>
          </cell>
          <cell r="E16045" t="str">
            <v>CCUCoAZA</v>
          </cell>
        </row>
        <row r="16046">
          <cell r="D16046" t="str">
            <v>AG204ZQAgosto2026</v>
          </cell>
          <cell r="E16046" t="str">
            <v>Arcor S.A.I.C.</v>
          </cell>
        </row>
        <row r="16047">
          <cell r="D16047" t="str">
            <v>AG204ZXAgosto2026</v>
          </cell>
          <cell r="E16047" t="str">
            <v>CMQ_TTE - QUILMES TTE</v>
          </cell>
        </row>
        <row r="16048">
          <cell r="D16048" t="str">
            <v>AG238NSAgosto2026</v>
          </cell>
          <cell r="E16048" t="str">
            <v>CENCOMLD - Cencosud SA - Mendoza</v>
          </cell>
        </row>
        <row r="16049">
          <cell r="D16049" t="str">
            <v>AG255NDAgosto2026</v>
          </cell>
          <cell r="E16049" t="str">
            <v>CENCOMLD - Cencosud SA - Mendoza</v>
          </cell>
        </row>
        <row r="16050">
          <cell r="D16050" t="str">
            <v>AG255NEAgosto2026</v>
          </cell>
          <cell r="E16050" t="str">
            <v>CENCOMLD - Cencosud SA - Mendoza</v>
          </cell>
        </row>
        <row r="16051">
          <cell r="D16051" t="str">
            <v>AG255NFAgosto2026</v>
          </cell>
          <cell r="E16051" t="str">
            <v>Arcor S.A.I.C.</v>
          </cell>
        </row>
        <row r="16052">
          <cell r="D16052" t="str">
            <v>AG255NGAgosto2026</v>
          </cell>
          <cell r="E16052" t="str">
            <v>Arcor S.A.I.C.</v>
          </cell>
        </row>
        <row r="16053">
          <cell r="D16053" t="str">
            <v>AG255NHAgosto2026</v>
          </cell>
          <cell r="E16053" t="str">
            <v>CENCOMLD - Cencosud SA - Mendoza</v>
          </cell>
        </row>
        <row r="16054">
          <cell r="D16054" t="str">
            <v>AG269WHAgosto2026</v>
          </cell>
          <cell r="E16054" t="str">
            <v>CENCOMLD - Cencosud SA - Mendoza</v>
          </cell>
        </row>
        <row r="16055">
          <cell r="D16055" t="str">
            <v>AG300AQAgosto2026</v>
          </cell>
          <cell r="E16055" t="str">
            <v>Expreso - Servicios Troncales</v>
          </cell>
        </row>
        <row r="16056">
          <cell r="D16056" t="str">
            <v>AG300ARAgosto2026</v>
          </cell>
          <cell r="E16056" t="str">
            <v>Arcor S.A.I.C.</v>
          </cell>
        </row>
        <row r="16057">
          <cell r="D16057" t="str">
            <v>AG390QDAgosto2026</v>
          </cell>
          <cell r="E16057" t="str">
            <v>CCUDyAZA</v>
          </cell>
        </row>
        <row r="16058">
          <cell r="D16058" t="str">
            <v>AG404LUAgosto2026</v>
          </cell>
          <cell r="E16058" t="str">
            <v>CMQ_TTE - QUILMES TTE</v>
          </cell>
        </row>
        <row r="16059">
          <cell r="D16059" t="str">
            <v>AG404LXAgosto2026</v>
          </cell>
          <cell r="E16059" t="str">
            <v>CCUDyAZA</v>
          </cell>
        </row>
        <row r="16060">
          <cell r="D16060" t="str">
            <v>AG465YJAgosto2026</v>
          </cell>
          <cell r="E16060" t="str">
            <v>Arcor S.A.I.C.</v>
          </cell>
        </row>
        <row r="16061">
          <cell r="D16061" t="str">
            <v>ALJ327Agosto2026</v>
          </cell>
          <cell r="E16061" t="str">
            <v>BAJA</v>
          </cell>
        </row>
        <row r="16062">
          <cell r="D16062" t="str">
            <v>APK014Agosto2026</v>
          </cell>
          <cell r="E16062" t="str">
            <v>BAJA</v>
          </cell>
        </row>
        <row r="16063">
          <cell r="D16063" t="str">
            <v>ARK153Agosto2026</v>
          </cell>
          <cell r="E16063" t="str">
            <v>INACTIVO</v>
          </cell>
        </row>
        <row r="16064">
          <cell r="D16064" t="str">
            <v>AUW393Agosto2026</v>
          </cell>
          <cell r="E16064" t="str">
            <v>BAJA</v>
          </cell>
        </row>
        <row r="16065">
          <cell r="D16065" t="str">
            <v>BBJ908Agosto2026</v>
          </cell>
          <cell r="E16065" t="str">
            <v>INACTIVO</v>
          </cell>
        </row>
        <row r="16066">
          <cell r="D16066" t="str">
            <v>BHB143Agosto2026</v>
          </cell>
          <cell r="E16066" t="str">
            <v>BAJA</v>
          </cell>
        </row>
        <row r="16067">
          <cell r="D16067" t="str">
            <v>BJG486Agosto2026</v>
          </cell>
          <cell r="E16067" t="str">
            <v>Sin Operación</v>
          </cell>
        </row>
        <row r="16068">
          <cell r="D16068" t="str">
            <v>BJH275Agosto2026</v>
          </cell>
          <cell r="E16068" t="str">
            <v>BAJA</v>
          </cell>
        </row>
        <row r="16069">
          <cell r="D16069" t="str">
            <v>BNW644Agosto2026</v>
          </cell>
          <cell r="E16069" t="str">
            <v>SUC_GAL - Sucursal General Alvear</v>
          </cell>
        </row>
        <row r="16070">
          <cell r="D16070" t="str">
            <v>BRJ211Agosto2026</v>
          </cell>
          <cell r="E16070" t="str">
            <v>SUC_MAL - Sucursal Malargüe</v>
          </cell>
        </row>
        <row r="16071">
          <cell r="D16071" t="str">
            <v>BVH267Agosto2026</v>
          </cell>
          <cell r="E16071" t="str">
            <v>Unilever - Unilever de Arg. S.A.</v>
          </cell>
        </row>
        <row r="16072">
          <cell r="D16072" t="str">
            <v>BXK441Agosto2026</v>
          </cell>
          <cell r="E16072" t="str">
            <v>FLETERO EXPRESO</v>
          </cell>
        </row>
        <row r="16073">
          <cell r="D16073" t="str">
            <v>CCV203Agosto2026</v>
          </cell>
          <cell r="E16073" t="str">
            <v>CMQ_TTE - QUILMES TTE</v>
          </cell>
        </row>
        <row r="16074">
          <cell r="D16074" t="str">
            <v>CCV874Agosto2026</v>
          </cell>
          <cell r="E16074" t="str">
            <v>BAJA</v>
          </cell>
        </row>
        <row r="16075">
          <cell r="D16075" t="str">
            <v>CEM260Agosto2026</v>
          </cell>
          <cell r="E16075" t="str">
            <v>BAJA</v>
          </cell>
        </row>
        <row r="16076">
          <cell r="D16076" t="str">
            <v>CVF922Agosto2026</v>
          </cell>
          <cell r="E16076" t="str">
            <v>SUC_REA - Sucursal Realicó</v>
          </cell>
        </row>
        <row r="16077">
          <cell r="D16077" t="str">
            <v>CVF923Agosto2026</v>
          </cell>
          <cell r="E16077" t="str">
            <v>JOHNSON - SC JOHNSON DE ARGENTINA SAIC</v>
          </cell>
        </row>
        <row r="16078">
          <cell r="D16078" t="str">
            <v>DCC976Agosto2026</v>
          </cell>
          <cell r="E16078" t="str">
            <v>AGN_TTE - AGUANORT - Transporte</v>
          </cell>
        </row>
        <row r="16079">
          <cell r="D16079" t="str">
            <v>DLW395Agosto2026</v>
          </cell>
          <cell r="E16079" t="str">
            <v>Topacio</v>
          </cell>
        </row>
        <row r="16080">
          <cell r="D16080" t="str">
            <v>DTU738Agosto2026</v>
          </cell>
          <cell r="E16080" t="str">
            <v>CIMSA_CI</v>
          </cell>
        </row>
        <row r="16081">
          <cell r="D16081" t="str">
            <v>EDC509Agosto2026</v>
          </cell>
          <cell r="E16081" t="str">
            <v>AGN_TTE - AGUANORT - Transporte</v>
          </cell>
        </row>
        <row r="16082">
          <cell r="D16082" t="str">
            <v>EGW558Agosto2026</v>
          </cell>
          <cell r="E16082" t="str">
            <v>INACTIVO</v>
          </cell>
        </row>
        <row r="16083">
          <cell r="D16083" t="str">
            <v>ENA706Agosto2026</v>
          </cell>
          <cell r="E16083" t="str">
            <v>INACTIVO</v>
          </cell>
        </row>
        <row r="16084">
          <cell r="D16084" t="str">
            <v>ENA708Agosto2026</v>
          </cell>
          <cell r="E16084" t="str">
            <v>INACTIVO</v>
          </cell>
        </row>
        <row r="16085">
          <cell r="D16085" t="str">
            <v>EPU120Agosto2026</v>
          </cell>
          <cell r="E16085" t="str">
            <v>BAJA</v>
          </cell>
        </row>
        <row r="16086">
          <cell r="D16086" t="str">
            <v>ESI300Agosto2026</v>
          </cell>
          <cell r="E16086" t="str">
            <v>BAJA</v>
          </cell>
        </row>
        <row r="16087">
          <cell r="D16087" t="str">
            <v>FCC940Agosto2026</v>
          </cell>
          <cell r="E16087" t="str">
            <v>INACTIVO</v>
          </cell>
        </row>
        <row r="16088">
          <cell r="D16088" t="str">
            <v>FCD324Agosto2026</v>
          </cell>
          <cell r="E16088" t="str">
            <v>Sin Operación</v>
          </cell>
        </row>
        <row r="16089">
          <cell r="D16089" t="str">
            <v>FEQ601Agosto2026</v>
          </cell>
          <cell r="E16089" t="str">
            <v>Sin Operación</v>
          </cell>
        </row>
        <row r="16090">
          <cell r="D16090" t="str">
            <v>FEQ602Agosto2026</v>
          </cell>
          <cell r="E16090" t="str">
            <v>Sin Operación</v>
          </cell>
        </row>
        <row r="16091">
          <cell r="D16091" t="str">
            <v>FFJ868Agosto2026</v>
          </cell>
          <cell r="E16091" t="str">
            <v>SUC_MEN - Sucursal Mendoza</v>
          </cell>
        </row>
        <row r="16092">
          <cell r="D16092" t="str">
            <v>FFO440Agosto2026</v>
          </cell>
          <cell r="E16092" t="str">
            <v>Sin Operación</v>
          </cell>
        </row>
        <row r="16093">
          <cell r="D16093" t="str">
            <v>FFV165Agosto2026</v>
          </cell>
          <cell r="E16093" t="str">
            <v>Sin Operación</v>
          </cell>
        </row>
        <row r="16094">
          <cell r="D16094" t="str">
            <v>FFV166Agosto2026</v>
          </cell>
          <cell r="E16094" t="str">
            <v>Sin Operación</v>
          </cell>
        </row>
        <row r="16095">
          <cell r="D16095" t="str">
            <v>FGG476Agosto2026</v>
          </cell>
          <cell r="E16095" t="str">
            <v>BAJA</v>
          </cell>
        </row>
        <row r="16096">
          <cell r="D16096" t="str">
            <v>FGV321Agosto2026</v>
          </cell>
          <cell r="E16096" t="str">
            <v>CCUCoAZA</v>
          </cell>
        </row>
        <row r="16097">
          <cell r="D16097" t="str">
            <v>FHJ542Agosto2026</v>
          </cell>
          <cell r="E16097" t="str">
            <v>BAJA</v>
          </cell>
        </row>
        <row r="16098">
          <cell r="D16098" t="str">
            <v>FHK364Agosto2026</v>
          </cell>
          <cell r="E16098" t="str">
            <v>Sin Operación</v>
          </cell>
        </row>
        <row r="16099">
          <cell r="D16099" t="str">
            <v>FJT707Agosto2026</v>
          </cell>
          <cell r="E16099" t="str">
            <v>SUC_MEN - Sucursal Mendoza</v>
          </cell>
        </row>
        <row r="16100">
          <cell r="D16100" t="str">
            <v>FNY245Agosto2026</v>
          </cell>
          <cell r="E16100" t="str">
            <v>BAJA</v>
          </cell>
        </row>
        <row r="16101">
          <cell r="D16101" t="str">
            <v>FQT892Agosto2026</v>
          </cell>
          <cell r="E16101" t="str">
            <v>BAJA</v>
          </cell>
        </row>
        <row r="16102">
          <cell r="D16102" t="str">
            <v>FQT893Agosto2026</v>
          </cell>
          <cell r="E16102" t="str">
            <v>Sin Operación</v>
          </cell>
        </row>
        <row r="16103">
          <cell r="D16103" t="str">
            <v>FQT894Agosto2026</v>
          </cell>
          <cell r="E16103" t="str">
            <v>SUC_SRA - Sucursal San Rafael</v>
          </cell>
        </row>
        <row r="16104">
          <cell r="D16104" t="str">
            <v>FVH034Agosto2026</v>
          </cell>
          <cell r="E16104" t="str">
            <v>SUC_SRA - Sucursal San Rafael</v>
          </cell>
        </row>
        <row r="16105">
          <cell r="D16105" t="str">
            <v>FVK506Agosto2026</v>
          </cell>
          <cell r="E16105" t="str">
            <v>Sin Operación</v>
          </cell>
        </row>
        <row r="16106">
          <cell r="D16106" t="str">
            <v>FVO107Agosto2026</v>
          </cell>
          <cell r="E16106" t="str">
            <v>Sin Operación</v>
          </cell>
        </row>
        <row r="16107">
          <cell r="D16107" t="str">
            <v>FVO108Agosto2026</v>
          </cell>
          <cell r="E16107" t="str">
            <v>Sin Operación</v>
          </cell>
        </row>
        <row r="16108">
          <cell r="D16108" t="str">
            <v>FZK806Agosto2026</v>
          </cell>
          <cell r="E16108" t="str">
            <v>CMQ_TTE - QUILMES TTE</v>
          </cell>
        </row>
        <row r="16109">
          <cell r="D16109" t="str">
            <v>FZK807Agosto2026</v>
          </cell>
          <cell r="E16109" t="str">
            <v>CMQ_TTE - QUILMES TTE</v>
          </cell>
        </row>
        <row r="16110">
          <cell r="D16110" t="str">
            <v>GBC607Agosto2026</v>
          </cell>
          <cell r="E16110" t="str">
            <v>CMQ_TTE - QUILMES TTE</v>
          </cell>
        </row>
        <row r="16111">
          <cell r="D16111" t="str">
            <v>GDR525Agosto2026</v>
          </cell>
          <cell r="E16111" t="str">
            <v>Arcor S.A.I.C.</v>
          </cell>
        </row>
        <row r="16112">
          <cell r="D16112" t="str">
            <v>GDR526Agosto2026</v>
          </cell>
          <cell r="E16112" t="str">
            <v>Molca</v>
          </cell>
        </row>
        <row r="16113">
          <cell r="D16113" t="str">
            <v>GDR527Agosto2026</v>
          </cell>
          <cell r="E16113" t="str">
            <v>CMQ_TTE - QUILMES TTE</v>
          </cell>
        </row>
        <row r="16114">
          <cell r="D16114" t="str">
            <v>GEB768Agosto2026</v>
          </cell>
          <cell r="E16114" t="str">
            <v>CMQ_TTE - QUILMES TTE</v>
          </cell>
        </row>
        <row r="16115">
          <cell r="D16115" t="str">
            <v>GEB769Agosto2026</v>
          </cell>
          <cell r="E16115" t="str">
            <v>Sin Operación</v>
          </cell>
        </row>
        <row r="16116">
          <cell r="D16116" t="str">
            <v>GES583Agosto2026</v>
          </cell>
          <cell r="E16116" t="str">
            <v>AGN_TTE - AGUANORT - Transporte</v>
          </cell>
        </row>
        <row r="16117">
          <cell r="D16117" t="str">
            <v>GFV163Agosto2026</v>
          </cell>
          <cell r="E16117" t="str">
            <v>CMQ_TTE - QUILMES TTE</v>
          </cell>
        </row>
        <row r="16118">
          <cell r="D16118" t="str">
            <v>GFZ650Agosto2026</v>
          </cell>
          <cell r="E16118" t="str">
            <v>CENCO_MZ - Cencosud SA - Mendoza</v>
          </cell>
        </row>
        <row r="16119">
          <cell r="D16119" t="str">
            <v>GFZ651Agosto2026</v>
          </cell>
          <cell r="E16119" t="str">
            <v>SUC_CTC - Sucursal Buenos Aires</v>
          </cell>
        </row>
        <row r="16120">
          <cell r="D16120" t="str">
            <v>GGN909Agosto2026</v>
          </cell>
          <cell r="E16120" t="str">
            <v>BAJA</v>
          </cell>
        </row>
        <row r="16121">
          <cell r="D16121" t="str">
            <v>GJC631Agosto2026</v>
          </cell>
          <cell r="E16121" t="str">
            <v>CCUCoAZA</v>
          </cell>
        </row>
        <row r="16122">
          <cell r="D16122" t="str">
            <v>GJC632Agosto2026</v>
          </cell>
          <cell r="E16122" t="str">
            <v>Papelera - Papelera del Plata S.A.</v>
          </cell>
        </row>
        <row r="16123">
          <cell r="D16123" t="str">
            <v>GJQ542Agosto2026</v>
          </cell>
          <cell r="E16123" t="str">
            <v>AGN_TTE - AGUANORT - Transporte</v>
          </cell>
        </row>
        <row r="16124">
          <cell r="D16124" t="str">
            <v>GJQ543Agosto2026</v>
          </cell>
          <cell r="E16124" t="str">
            <v>AGN_TTE - AGUANORT - Transporte</v>
          </cell>
        </row>
        <row r="16125">
          <cell r="D16125" t="str">
            <v>GJQ699Agosto2026</v>
          </cell>
          <cell r="E16125" t="str">
            <v>SUC_ROS - Sucursal Rosario</v>
          </cell>
        </row>
        <row r="16126">
          <cell r="D16126" t="str">
            <v>GKK500Agosto2026</v>
          </cell>
          <cell r="E16126" t="str">
            <v>SUC_MEN - Sucursal Mendoza</v>
          </cell>
        </row>
        <row r="16127">
          <cell r="D16127" t="str">
            <v>GLT550Agosto2026</v>
          </cell>
          <cell r="E16127" t="str">
            <v>Expreso - Servicios Troncales</v>
          </cell>
        </row>
        <row r="16128">
          <cell r="D16128" t="str">
            <v>GLT551Agosto2026</v>
          </cell>
          <cell r="E16128" t="str">
            <v>Sin Operación</v>
          </cell>
        </row>
        <row r="16129">
          <cell r="D16129" t="str">
            <v>GLT552Agosto2026</v>
          </cell>
          <cell r="E16129" t="str">
            <v>Molca</v>
          </cell>
        </row>
        <row r="16130">
          <cell r="D16130" t="str">
            <v>GMJ024Agosto2026</v>
          </cell>
          <cell r="E16130" t="str">
            <v>Unilever - Unilever de Arg. S.A.</v>
          </cell>
        </row>
        <row r="16131">
          <cell r="D16131" t="str">
            <v>GMJ025Agosto2026</v>
          </cell>
          <cell r="E16131" t="str">
            <v>CENCO_MZ - Cencosud SA - Mendoza</v>
          </cell>
        </row>
        <row r="16132">
          <cell r="D16132" t="str">
            <v>GNY197Agosto2026</v>
          </cell>
          <cell r="E16132" t="str">
            <v>Papelera - Papelera del Plata S.A.</v>
          </cell>
        </row>
        <row r="16133">
          <cell r="D16133" t="str">
            <v>GNY198Agosto2026</v>
          </cell>
          <cell r="E16133" t="str">
            <v>CCUCoAZA</v>
          </cell>
        </row>
        <row r="16134">
          <cell r="D16134" t="str">
            <v>GNY199Agosto2026</v>
          </cell>
          <cell r="E16134" t="str">
            <v>BAJA</v>
          </cell>
        </row>
        <row r="16135">
          <cell r="D16135" t="str">
            <v>GOR390Agosto2026</v>
          </cell>
          <cell r="E16135" t="str">
            <v>Molca</v>
          </cell>
        </row>
        <row r="16136">
          <cell r="D16136" t="str">
            <v>GOR397Agosto2026</v>
          </cell>
          <cell r="E16136" t="str">
            <v>SUC_SLU - Sucursal San Luis</v>
          </cell>
        </row>
        <row r="16137">
          <cell r="D16137" t="str">
            <v>GOX956Agosto2026</v>
          </cell>
          <cell r="E16137" t="str">
            <v>JOHNSON - SC JOHNSON DE ARGENTINA SAIC</v>
          </cell>
        </row>
        <row r="16138">
          <cell r="D16138" t="str">
            <v>GOX957Agosto2026</v>
          </cell>
          <cell r="E16138" t="str">
            <v>Papelera - Papelera del Plata S.A - Zarate.</v>
          </cell>
        </row>
        <row r="16139">
          <cell r="D16139" t="str">
            <v>GOX958Agosto2026</v>
          </cell>
          <cell r="E16139" t="str">
            <v>Papelera - Papelera del Plata S.A - Zarate.</v>
          </cell>
        </row>
        <row r="16140">
          <cell r="D16140" t="str">
            <v>GOX959Agosto2026</v>
          </cell>
          <cell r="E16140" t="str">
            <v>CCUCoAZA</v>
          </cell>
        </row>
        <row r="16141">
          <cell r="D16141" t="str">
            <v>GPE838Agosto2026</v>
          </cell>
          <cell r="E16141" t="str">
            <v>BAJA</v>
          </cell>
        </row>
        <row r="16142">
          <cell r="D16142" t="str">
            <v>GPL520Agosto2026</v>
          </cell>
          <cell r="E16142" t="str">
            <v>SUC_REA - Sucursal Realicó</v>
          </cell>
        </row>
        <row r="16143">
          <cell r="D16143" t="str">
            <v>GQN688Agosto2026</v>
          </cell>
          <cell r="E16143" t="str">
            <v>Expreso - Servicios Troncales</v>
          </cell>
        </row>
        <row r="16144">
          <cell r="D16144" t="str">
            <v>GRC311Agosto2026</v>
          </cell>
          <cell r="E16144" t="str">
            <v>CCUCoAZA</v>
          </cell>
        </row>
        <row r="16145">
          <cell r="D16145" t="str">
            <v>GRE072Agosto2026</v>
          </cell>
          <cell r="E16145" t="str">
            <v>CCUCoAZA</v>
          </cell>
        </row>
        <row r="16146">
          <cell r="D16146" t="str">
            <v>GRE073Agosto2026</v>
          </cell>
          <cell r="E16146" t="str">
            <v>SUC_MEN - Sucursal Mendoza</v>
          </cell>
        </row>
        <row r="16147">
          <cell r="D16147" t="str">
            <v>GTE287Agosto2026</v>
          </cell>
          <cell r="E16147" t="str">
            <v>Papelera - Papelera del Plata S.A.</v>
          </cell>
        </row>
        <row r="16148">
          <cell r="D16148" t="str">
            <v>GTE288Agosto2026</v>
          </cell>
          <cell r="E16148" t="str">
            <v>JOHNSON - SC JOHNSON DE ARGENTINA SAIC</v>
          </cell>
        </row>
        <row r="16149">
          <cell r="D16149" t="str">
            <v>GTE289Agosto2026</v>
          </cell>
          <cell r="E16149" t="str">
            <v>Papelera - Papelera del Plata S.A.</v>
          </cell>
        </row>
        <row r="16150">
          <cell r="D16150" t="str">
            <v>GUW657Agosto2026</v>
          </cell>
          <cell r="E16150" t="str">
            <v>CENCO_SJ - Cencosud SA - San Juan</v>
          </cell>
        </row>
        <row r="16151">
          <cell r="D16151" t="str">
            <v>GUW658Agosto2026</v>
          </cell>
          <cell r="E16151" t="str">
            <v>Unilever - Unilever de Arg. S.A.</v>
          </cell>
        </row>
        <row r="16152">
          <cell r="D16152" t="str">
            <v>GVU096Agosto2026</v>
          </cell>
          <cell r="E16152" t="str">
            <v>SUC_SRA - Sucursal San Rafael</v>
          </cell>
        </row>
        <row r="16153">
          <cell r="D16153" t="str">
            <v>GVU097Agosto2026</v>
          </cell>
          <cell r="E16153" t="str">
            <v>Papelera - Papelera del Plata S.A - Zarate.</v>
          </cell>
        </row>
        <row r="16154">
          <cell r="D16154" t="str">
            <v>GYB034Agosto2026</v>
          </cell>
          <cell r="E16154" t="str">
            <v>SUC_MEN - Sucursal Mendoza</v>
          </cell>
        </row>
        <row r="16155">
          <cell r="D16155" t="str">
            <v>GYO749Agosto2026</v>
          </cell>
          <cell r="E16155" t="str">
            <v>SUC_MEN - Sucursal Mendoza</v>
          </cell>
        </row>
        <row r="16156">
          <cell r="D16156" t="str">
            <v>HBD129Agosto2026</v>
          </cell>
          <cell r="E16156" t="str">
            <v>BAJA</v>
          </cell>
        </row>
        <row r="16157">
          <cell r="D16157" t="str">
            <v>HEU640Agosto2026</v>
          </cell>
          <cell r="E16157" t="str">
            <v>CENCO_MZ - Cencosud SA - Mendoza</v>
          </cell>
        </row>
        <row r="16158">
          <cell r="D16158" t="str">
            <v>HHJ239Agosto2026</v>
          </cell>
          <cell r="E16158" t="str">
            <v>CMQ_TTE - QUILMES TTE</v>
          </cell>
        </row>
        <row r="16159">
          <cell r="D16159" t="str">
            <v>HIW856Agosto2026</v>
          </cell>
          <cell r="E16159" t="str">
            <v>Sin Operación</v>
          </cell>
        </row>
        <row r="16160">
          <cell r="D16160" t="str">
            <v>HKR104Agosto2026</v>
          </cell>
          <cell r="E16160" t="str">
            <v>AGN_TTE - AGUANORT - Transporte</v>
          </cell>
        </row>
        <row r="16161">
          <cell r="D16161" t="str">
            <v>HKW894Agosto2026</v>
          </cell>
          <cell r="E16161" t="str">
            <v>Papelera - Papelera del Plata S.A - Zarate.</v>
          </cell>
        </row>
        <row r="16162">
          <cell r="D16162" t="str">
            <v>HNE430Agosto2026</v>
          </cell>
          <cell r="E16162" t="str">
            <v>CCUCoAZA</v>
          </cell>
        </row>
        <row r="16163">
          <cell r="D16163" t="str">
            <v>HNL373Agosto2026</v>
          </cell>
          <cell r="E16163" t="str">
            <v>Alfavinil SA</v>
          </cell>
        </row>
        <row r="16164">
          <cell r="D16164" t="str">
            <v>HPR687Agosto2026</v>
          </cell>
          <cell r="E16164" t="str">
            <v>Topacio</v>
          </cell>
        </row>
        <row r="16165">
          <cell r="D16165" t="str">
            <v>HQM968Agosto2026</v>
          </cell>
          <cell r="E16165" t="str">
            <v>CCUCoAZA</v>
          </cell>
        </row>
        <row r="16166">
          <cell r="D16166" t="str">
            <v>HRJ002Agosto2026</v>
          </cell>
          <cell r="E16166" t="str">
            <v>SUC_REA - Sucursal Realicó</v>
          </cell>
        </row>
        <row r="16167">
          <cell r="D16167" t="str">
            <v>HRJ003Agosto2026</v>
          </cell>
          <cell r="E16167" t="str">
            <v>CENCO_MZ - Cencosud SA - Mendoza</v>
          </cell>
        </row>
        <row r="16168">
          <cell r="D16168" t="str">
            <v>HRJ004Agosto2026</v>
          </cell>
          <cell r="E16168" t="str">
            <v>CENCO_MZ - Cencosud SA - Mendoza</v>
          </cell>
        </row>
        <row r="16169">
          <cell r="D16169" t="str">
            <v>HSC655Agosto2026</v>
          </cell>
          <cell r="E16169" t="str">
            <v>CENCO_MZ - Cencosud SA - Mendoza</v>
          </cell>
        </row>
        <row r="16170">
          <cell r="D16170" t="str">
            <v>HUY047Agosto2026</v>
          </cell>
          <cell r="E16170" t="str">
            <v>Unilever - Unilever de Arg. S.A.</v>
          </cell>
        </row>
        <row r="16171">
          <cell r="D16171" t="str">
            <v>HXL135Agosto2026</v>
          </cell>
          <cell r="E16171" t="str">
            <v>AGN_TTE - AGUANORT - Transporte</v>
          </cell>
        </row>
        <row r="16172">
          <cell r="D16172" t="str">
            <v>IBB073Agosto2026</v>
          </cell>
          <cell r="E16172" t="str">
            <v>Expreso - Servicios Troncales</v>
          </cell>
        </row>
        <row r="16173">
          <cell r="D16173" t="str">
            <v>IBB074Agosto2026</v>
          </cell>
          <cell r="E16173" t="str">
            <v>Expreso - Servicios Troncales</v>
          </cell>
        </row>
        <row r="16174">
          <cell r="D16174" t="str">
            <v>IBB075Agosto2026</v>
          </cell>
          <cell r="E16174" t="str">
            <v>Expreso - Servicios Troncales</v>
          </cell>
        </row>
        <row r="16175">
          <cell r="D16175" t="str">
            <v>IBB076Agosto2026</v>
          </cell>
          <cell r="E16175" t="str">
            <v>ADA_CH - Danone Arg. S.A. - Chascomus</v>
          </cell>
        </row>
        <row r="16176">
          <cell r="D16176" t="str">
            <v>IDJ796Agosto2026</v>
          </cell>
          <cell r="E16176" t="str">
            <v>Expreso - Servicios Troncales</v>
          </cell>
        </row>
        <row r="16177">
          <cell r="D16177" t="str">
            <v>IDJ797Agosto2026</v>
          </cell>
          <cell r="E16177" t="str">
            <v>Expreso - Servicios Troncales</v>
          </cell>
        </row>
        <row r="16178">
          <cell r="D16178" t="str">
            <v>IDX163Agosto2026</v>
          </cell>
          <cell r="E16178" t="str">
            <v>JOHNSON - SC JOHNSON DE ARGENTINA SAIC</v>
          </cell>
        </row>
        <row r="16179">
          <cell r="D16179" t="str">
            <v>IDX164Agosto2026</v>
          </cell>
          <cell r="E16179" t="str">
            <v>Expreso - Servicios Troncales</v>
          </cell>
        </row>
        <row r="16180">
          <cell r="D16180" t="str">
            <v>IDX165Agosto2026</v>
          </cell>
          <cell r="E16180" t="str">
            <v>Unilever - Unilever de Arg. S.A.</v>
          </cell>
        </row>
        <row r="16181">
          <cell r="D16181" t="str">
            <v>IHC498Agosto2026</v>
          </cell>
          <cell r="E16181" t="str">
            <v>AGN_TTE - AGUANORT - Transporte</v>
          </cell>
        </row>
        <row r="16182">
          <cell r="D16182" t="str">
            <v>IRC117Agosto2026</v>
          </cell>
          <cell r="E16182" t="str">
            <v>SUC_CTC - Sucursal Buenos Aires</v>
          </cell>
        </row>
        <row r="16183">
          <cell r="D16183" t="str">
            <v>IVC008Agosto2026</v>
          </cell>
          <cell r="E16183" t="str">
            <v>CMQ_TTE - QUILMES TTE</v>
          </cell>
        </row>
        <row r="16184">
          <cell r="D16184" t="str">
            <v>IVD940Agosto2026</v>
          </cell>
          <cell r="E16184" t="str">
            <v>CCUCoAZA</v>
          </cell>
        </row>
        <row r="16185">
          <cell r="D16185" t="str">
            <v>IVD941Agosto2026</v>
          </cell>
          <cell r="E16185" t="str">
            <v>Sin Operación</v>
          </cell>
        </row>
        <row r="16186">
          <cell r="D16186" t="str">
            <v>IZD113Agosto2026</v>
          </cell>
          <cell r="E16186" t="str">
            <v>BAJA</v>
          </cell>
        </row>
        <row r="16187">
          <cell r="D16187" t="str">
            <v>JAD357Agosto2026</v>
          </cell>
          <cell r="E16187" t="str">
            <v>CMQ_TTE - QUILMES TTE</v>
          </cell>
        </row>
        <row r="16188">
          <cell r="D16188" t="str">
            <v>JCF735Agosto2026</v>
          </cell>
          <cell r="E16188" t="str">
            <v>SUC_SRA - Sucursal San Rafael</v>
          </cell>
        </row>
        <row r="16189">
          <cell r="D16189" t="str">
            <v>JEB635Agosto2026</v>
          </cell>
          <cell r="E16189" t="str">
            <v>Sin Operación</v>
          </cell>
        </row>
        <row r="16190">
          <cell r="D16190" t="str">
            <v>JEB636Agosto2026</v>
          </cell>
          <cell r="E16190" t="str">
            <v>Unilever - Unilever de Arg. S.A.</v>
          </cell>
        </row>
        <row r="16191">
          <cell r="D16191" t="str">
            <v>JGG403Agosto2026</v>
          </cell>
          <cell r="E16191" t="str">
            <v>Sin Operación</v>
          </cell>
        </row>
        <row r="16192">
          <cell r="D16192" t="str">
            <v>JGG404Agosto2026</v>
          </cell>
          <cell r="E16192" t="str">
            <v>Expreso - Servicios Troncales</v>
          </cell>
        </row>
        <row r="16193">
          <cell r="D16193" t="str">
            <v>JGG405Agosto2026</v>
          </cell>
          <cell r="E16193" t="str">
            <v>Sin Operación</v>
          </cell>
        </row>
        <row r="16194">
          <cell r="D16194" t="str">
            <v>JGG406Agosto2026</v>
          </cell>
          <cell r="E16194" t="str">
            <v>Expreso - Servicios Troncales</v>
          </cell>
        </row>
        <row r="16195">
          <cell r="D16195" t="str">
            <v>JHD033Agosto2026</v>
          </cell>
          <cell r="E16195" t="str">
            <v>Expreso - Servicios Troncales</v>
          </cell>
        </row>
        <row r="16196">
          <cell r="D16196" t="str">
            <v>JHD034Agosto2026</v>
          </cell>
          <cell r="E16196" t="str">
            <v>Expreso - Servicios Troncales</v>
          </cell>
        </row>
        <row r="16197">
          <cell r="D16197" t="str">
            <v>JHD035Agosto2026</v>
          </cell>
          <cell r="E16197" t="str">
            <v>Expreso - Servicios Troncales</v>
          </cell>
        </row>
        <row r="16198">
          <cell r="D16198" t="str">
            <v>JIL501Agosto2026</v>
          </cell>
          <cell r="E16198" t="str">
            <v>Unilever - Unilever de Arg. S.A.</v>
          </cell>
        </row>
        <row r="16199">
          <cell r="D16199" t="str">
            <v>JIL525Agosto2026</v>
          </cell>
          <cell r="E16199" t="str">
            <v>CENCO_SJ - Cencosud SA - San Juan</v>
          </cell>
        </row>
        <row r="16200">
          <cell r="D16200" t="str">
            <v>JIU311Agosto2026</v>
          </cell>
          <cell r="E16200" t="str">
            <v>Expreso - Servicios Troncales</v>
          </cell>
        </row>
        <row r="16201">
          <cell r="D16201" t="str">
            <v>JJH871Agosto2026</v>
          </cell>
          <cell r="E16201" t="str">
            <v>CCUCoAZA</v>
          </cell>
        </row>
        <row r="16202">
          <cell r="D16202" t="str">
            <v>JKG664Agosto2026</v>
          </cell>
          <cell r="E16202" t="str">
            <v>Molca</v>
          </cell>
        </row>
        <row r="16203">
          <cell r="D16203" t="str">
            <v>JKQ773Agosto2026</v>
          </cell>
          <cell r="E16203" t="str">
            <v>Sin Operación</v>
          </cell>
        </row>
        <row r="16204">
          <cell r="D16204" t="str">
            <v>JKQ774Agosto2026</v>
          </cell>
          <cell r="E16204" t="str">
            <v>CCUCoAZA</v>
          </cell>
        </row>
        <row r="16205">
          <cell r="D16205" t="str">
            <v>JWV370Agosto2026</v>
          </cell>
          <cell r="E16205" t="str">
            <v>Sin Operación</v>
          </cell>
        </row>
        <row r="16206">
          <cell r="D16206" t="str">
            <v>JWV371Agosto2026</v>
          </cell>
          <cell r="E16206" t="str">
            <v>Sin Operación</v>
          </cell>
        </row>
        <row r="16207">
          <cell r="D16207" t="str">
            <v>JWV379Agosto2026</v>
          </cell>
          <cell r="E16207" t="str">
            <v>CCUCoAZA</v>
          </cell>
        </row>
        <row r="16208">
          <cell r="D16208" t="str">
            <v>JWV380Agosto2026</v>
          </cell>
          <cell r="E16208" t="str">
            <v>CMQ_TTE - QUILMES TTE</v>
          </cell>
        </row>
        <row r="16209">
          <cell r="D16209" t="str">
            <v>JXJ303Agosto2026</v>
          </cell>
          <cell r="E16209" t="str">
            <v>CCUCoAZA</v>
          </cell>
        </row>
        <row r="16210">
          <cell r="D16210" t="str">
            <v>JXZ244Agosto2026</v>
          </cell>
          <cell r="E16210" t="str">
            <v>Expreso - Servicios Troncales</v>
          </cell>
        </row>
        <row r="16211">
          <cell r="D16211" t="str">
            <v>JXZ245Agosto2026</v>
          </cell>
          <cell r="E16211" t="str">
            <v>Expreso - Servicios Troncales</v>
          </cell>
        </row>
        <row r="16212">
          <cell r="D16212" t="str">
            <v>JXZ246Agosto2026</v>
          </cell>
          <cell r="E16212" t="str">
            <v>Expreso - Servicios Troncales</v>
          </cell>
        </row>
        <row r="16213">
          <cell r="D16213" t="str">
            <v>JXZ992Agosto2026</v>
          </cell>
          <cell r="E16213" t="str">
            <v>CCUCoAZA</v>
          </cell>
        </row>
        <row r="16214">
          <cell r="D16214" t="str">
            <v>JXZ993Agosto2026</v>
          </cell>
          <cell r="E16214" t="str">
            <v>Sin Operación</v>
          </cell>
        </row>
        <row r="16215">
          <cell r="D16215" t="str">
            <v>JYQ969Agosto2026</v>
          </cell>
          <cell r="E16215" t="str">
            <v>Topacio</v>
          </cell>
        </row>
        <row r="16216">
          <cell r="D16216" t="str">
            <v>KAU644Agosto2026</v>
          </cell>
          <cell r="E16216" t="str">
            <v>BAJA</v>
          </cell>
        </row>
        <row r="16217">
          <cell r="D16217" t="str">
            <v>KAV644Agosto2026</v>
          </cell>
          <cell r="E16217" t="str">
            <v>CCUCoAZA</v>
          </cell>
        </row>
        <row r="16218">
          <cell r="D16218" t="str">
            <v>KBO540Agosto2026</v>
          </cell>
          <cell r="E16218" t="str">
            <v>BAJA</v>
          </cell>
        </row>
        <row r="16219">
          <cell r="D16219" t="str">
            <v>KBO541Agosto2026</v>
          </cell>
          <cell r="E16219" t="str">
            <v>BAJA</v>
          </cell>
        </row>
        <row r="16220">
          <cell r="D16220" t="str">
            <v>KBO542Agosto2026</v>
          </cell>
          <cell r="E16220" t="str">
            <v>Expreso - Servicios Troncales</v>
          </cell>
        </row>
        <row r="16221">
          <cell r="D16221" t="str">
            <v>KBV611Agosto2026</v>
          </cell>
          <cell r="E16221" t="str">
            <v>CCUDyAZA</v>
          </cell>
        </row>
        <row r="16222">
          <cell r="D16222" t="str">
            <v>KBV613Agosto2026</v>
          </cell>
          <cell r="E16222" t="str">
            <v>BAJA</v>
          </cell>
        </row>
        <row r="16223">
          <cell r="D16223" t="str">
            <v>KBV618Agosto2026</v>
          </cell>
          <cell r="E16223" t="str">
            <v>CCUDyAZA</v>
          </cell>
        </row>
        <row r="16224">
          <cell r="D16224" t="str">
            <v>KBV620Agosto2026</v>
          </cell>
          <cell r="E16224" t="str">
            <v>CCUCoAZA</v>
          </cell>
        </row>
        <row r="16225">
          <cell r="D16225" t="str">
            <v>KDG188Agosto2026</v>
          </cell>
          <cell r="E16225" t="str">
            <v>CCUCoAZA</v>
          </cell>
        </row>
        <row r="16226">
          <cell r="D16226" t="str">
            <v>KDN278Agosto2026</v>
          </cell>
          <cell r="E16226" t="str">
            <v>BAJA</v>
          </cell>
        </row>
        <row r="16227">
          <cell r="D16227" t="str">
            <v>KDP489Agosto2026</v>
          </cell>
          <cell r="E16227" t="str">
            <v>BAJA</v>
          </cell>
        </row>
        <row r="16228">
          <cell r="D16228" t="str">
            <v>KER727Agosto2026</v>
          </cell>
          <cell r="E16228" t="str">
            <v>Papelera - Papelera del Plata S.A.</v>
          </cell>
        </row>
        <row r="16229">
          <cell r="D16229" t="str">
            <v>KER728Agosto2026</v>
          </cell>
          <cell r="E16229" t="str">
            <v>CENCO_MZ - Cencosud SA - Mendoza</v>
          </cell>
        </row>
        <row r="16230">
          <cell r="D16230" t="str">
            <v>KGM735Agosto2026</v>
          </cell>
          <cell r="E16230" t="str">
            <v>CENCO_MZ - Cencosud SA - Mendoza</v>
          </cell>
        </row>
        <row r="16231">
          <cell r="D16231" t="str">
            <v>KHS009Agosto2026</v>
          </cell>
          <cell r="E16231" t="str">
            <v>Sin Operación</v>
          </cell>
        </row>
        <row r="16232">
          <cell r="D16232" t="str">
            <v>KHS012Agosto2026</v>
          </cell>
          <cell r="E16232" t="str">
            <v>Papelera - Papelera del Plata S.A.</v>
          </cell>
        </row>
        <row r="16233">
          <cell r="D16233" t="str">
            <v>KHS013Agosto2026</v>
          </cell>
          <cell r="E16233" t="str">
            <v>SUC_GAL - Sucursal General Alvear</v>
          </cell>
        </row>
        <row r="16234">
          <cell r="D16234" t="str">
            <v>KHS025Agosto2026</v>
          </cell>
          <cell r="E16234" t="str">
            <v>Sin Operación</v>
          </cell>
        </row>
        <row r="16235">
          <cell r="D16235" t="str">
            <v>KHS026Agosto2026</v>
          </cell>
          <cell r="E16235" t="str">
            <v>CMQ_TTE - QUILMES TTE</v>
          </cell>
        </row>
        <row r="16236">
          <cell r="D16236" t="str">
            <v>KIL604Agosto2026</v>
          </cell>
          <cell r="E16236" t="str">
            <v>Sin Operación</v>
          </cell>
        </row>
        <row r="16237">
          <cell r="D16237" t="str">
            <v>KIP032Agosto2026</v>
          </cell>
          <cell r="E16237" t="str">
            <v>Expreso - Servicios Troncales</v>
          </cell>
        </row>
        <row r="16238">
          <cell r="D16238" t="str">
            <v>KJH882Agosto2026</v>
          </cell>
          <cell r="E16238" t="str">
            <v>Molca</v>
          </cell>
        </row>
        <row r="16239">
          <cell r="D16239" t="str">
            <v>KJH885Agosto2026</v>
          </cell>
          <cell r="E16239" t="str">
            <v>Arcor S.A.I.C.</v>
          </cell>
        </row>
        <row r="16240">
          <cell r="D16240" t="str">
            <v>KJN079Agosto2026</v>
          </cell>
          <cell r="E16240" t="str">
            <v>BAJA</v>
          </cell>
        </row>
        <row r="16241">
          <cell r="D16241" t="str">
            <v>KKI233Agosto2026</v>
          </cell>
          <cell r="E16241" t="str">
            <v>Papelera - Papelera del Plata S.A.</v>
          </cell>
        </row>
        <row r="16242">
          <cell r="D16242" t="str">
            <v>KKZ666Agosto2026</v>
          </cell>
          <cell r="E16242" t="str">
            <v>Arcor S.A.I.C.</v>
          </cell>
        </row>
        <row r="16243">
          <cell r="D16243" t="str">
            <v>KKZ668Agosto2026</v>
          </cell>
          <cell r="E16243" t="str">
            <v>Arcor S.A.I.C.</v>
          </cell>
        </row>
        <row r="16244">
          <cell r="D16244" t="str">
            <v>KKZ669Agosto2026</v>
          </cell>
          <cell r="E16244" t="str">
            <v>Arcor S.A.I.C.</v>
          </cell>
        </row>
        <row r="16245">
          <cell r="D16245" t="str">
            <v>KLY952Agosto2026</v>
          </cell>
          <cell r="E16245" t="str">
            <v>AGN_TTE - AGUANORT - Transporte</v>
          </cell>
        </row>
        <row r="16246">
          <cell r="D16246" t="str">
            <v>KLY974Agosto2026</v>
          </cell>
          <cell r="E16246" t="str">
            <v>CENCOMLD - Cencosud SA - Mendoza</v>
          </cell>
        </row>
        <row r="16247">
          <cell r="D16247" t="str">
            <v>KMF921Agosto2026</v>
          </cell>
          <cell r="E16247" t="str">
            <v>Arcor S.A.I.C.</v>
          </cell>
        </row>
        <row r="16248">
          <cell r="D16248" t="str">
            <v>KMM903Agosto2026</v>
          </cell>
          <cell r="E16248" t="str">
            <v>AGN_TTE - AGUANORT - Transporte</v>
          </cell>
        </row>
        <row r="16249">
          <cell r="D16249" t="str">
            <v>KMM904Agosto2026</v>
          </cell>
          <cell r="E16249" t="str">
            <v>AGN_TTE - AGUANORT - Transporte</v>
          </cell>
        </row>
        <row r="16250">
          <cell r="D16250" t="str">
            <v>KMN384Agosto2026</v>
          </cell>
          <cell r="E16250" t="str">
            <v>Expreso - Servicios Troncales</v>
          </cell>
        </row>
        <row r="16251">
          <cell r="D16251" t="str">
            <v>KMN385Agosto2026</v>
          </cell>
          <cell r="E16251" t="str">
            <v>Expreso - Servicios Troncales</v>
          </cell>
        </row>
        <row r="16252">
          <cell r="D16252" t="str">
            <v>KNE956Agosto2026</v>
          </cell>
          <cell r="E16252" t="str">
            <v>ADA_CH - Danone Arg. S.A. - Chascomus</v>
          </cell>
        </row>
        <row r="16253">
          <cell r="D16253" t="str">
            <v>KPQ389Agosto2026</v>
          </cell>
          <cell r="E16253" t="str">
            <v>AGN_TTE - AGUANORT - Transporte</v>
          </cell>
        </row>
        <row r="16254">
          <cell r="D16254" t="str">
            <v>KPQ390Agosto2026</v>
          </cell>
          <cell r="E16254" t="str">
            <v>Sin Operación</v>
          </cell>
        </row>
        <row r="16255">
          <cell r="D16255" t="str">
            <v>KPQ391Agosto2026</v>
          </cell>
          <cell r="E16255" t="str">
            <v>Sin Operación</v>
          </cell>
        </row>
        <row r="16256">
          <cell r="D16256" t="str">
            <v>KPQ392Agosto2026</v>
          </cell>
          <cell r="E16256" t="str">
            <v>AGN_TTE - AGUANORT - Transporte</v>
          </cell>
        </row>
        <row r="16257">
          <cell r="D16257" t="str">
            <v>KPQ393Agosto2026</v>
          </cell>
          <cell r="E16257" t="str">
            <v>CMQ_TTE - QUILMES TTE</v>
          </cell>
        </row>
        <row r="16258">
          <cell r="D16258" t="str">
            <v>KRR045Agosto2026</v>
          </cell>
          <cell r="E16258" t="str">
            <v>Expreso - Servicios Troncales</v>
          </cell>
        </row>
        <row r="16259">
          <cell r="D16259" t="str">
            <v>KRR046Agosto2026</v>
          </cell>
          <cell r="E16259" t="str">
            <v>Expreso - Servicios Troncales</v>
          </cell>
        </row>
        <row r="16260">
          <cell r="D16260" t="str">
            <v>KTC854Agosto2026</v>
          </cell>
          <cell r="E16260" t="str">
            <v>CCUCoAZA</v>
          </cell>
        </row>
        <row r="16261">
          <cell r="D16261" t="str">
            <v>KUF605Agosto2026</v>
          </cell>
          <cell r="E16261" t="str">
            <v>Expreso - Servicios Troncales</v>
          </cell>
        </row>
        <row r="16262">
          <cell r="D16262" t="str">
            <v>KUF606Agosto2026</v>
          </cell>
          <cell r="E16262" t="str">
            <v>Expreso - Servicios Troncales</v>
          </cell>
        </row>
        <row r="16263">
          <cell r="D16263" t="str">
            <v>KUF609Agosto2026</v>
          </cell>
          <cell r="E16263" t="str">
            <v>Expreso - Servicios Troncales</v>
          </cell>
        </row>
        <row r="16264">
          <cell r="D16264" t="str">
            <v>KVP166Agosto2026</v>
          </cell>
          <cell r="E16264" t="str">
            <v>Arcor S.A.I.C.</v>
          </cell>
        </row>
        <row r="16265">
          <cell r="D16265" t="str">
            <v>LAQ225Agosto2026</v>
          </cell>
          <cell r="E16265" t="str">
            <v>BAJA</v>
          </cell>
        </row>
        <row r="16266">
          <cell r="D16266" t="str">
            <v>LFK336Agosto2026</v>
          </cell>
          <cell r="E16266" t="str">
            <v>Expreso - Servicios Troncales</v>
          </cell>
        </row>
        <row r="16267">
          <cell r="D16267" t="str">
            <v>LFK337Agosto2026</v>
          </cell>
          <cell r="E16267" t="str">
            <v>Expreso - Servicios Troncales</v>
          </cell>
        </row>
        <row r="16268">
          <cell r="D16268" t="str">
            <v>LFK338Agosto2026</v>
          </cell>
          <cell r="E16268" t="str">
            <v>Expreso - Servicios Troncales</v>
          </cell>
        </row>
        <row r="16269">
          <cell r="D16269" t="str">
            <v>LFK339Agosto2026</v>
          </cell>
          <cell r="E16269" t="str">
            <v>Expreso - Servicios Troncales</v>
          </cell>
        </row>
        <row r="16270">
          <cell r="D16270" t="str">
            <v>LRN157Agosto2026</v>
          </cell>
          <cell r="E16270" t="str">
            <v>CENCOMLD - Cencosud SA - Mendoza</v>
          </cell>
        </row>
        <row r="16271">
          <cell r="D16271" t="str">
            <v>LTS288Agosto2026</v>
          </cell>
          <cell r="E16271" t="str">
            <v>CENCOMLD - Cencosud SA - Mendoza</v>
          </cell>
        </row>
        <row r="16272">
          <cell r="D16272" t="str">
            <v>LUW863Agosto2026</v>
          </cell>
          <cell r="E16272" t="str">
            <v>CENCOMLD - Cencosud SA - Mendoza</v>
          </cell>
        </row>
        <row r="16273">
          <cell r="D16273" t="str">
            <v>LXH429Agosto2026</v>
          </cell>
          <cell r="E16273" t="str">
            <v>BAJA</v>
          </cell>
        </row>
        <row r="16274">
          <cell r="D16274" t="str">
            <v>LXM511Agosto2026</v>
          </cell>
          <cell r="E16274" t="str">
            <v>CENCOMLD - Cencosud SA - Mendoza</v>
          </cell>
        </row>
        <row r="16275">
          <cell r="D16275" t="str">
            <v>MAO550Agosto2026</v>
          </cell>
          <cell r="E16275" t="str">
            <v>CMQ_TTE - QUILMES TTE</v>
          </cell>
        </row>
        <row r="16276">
          <cell r="D16276" t="str">
            <v>MFW350Agosto2026</v>
          </cell>
          <cell r="E16276" t="str">
            <v>BAJA</v>
          </cell>
        </row>
        <row r="16277">
          <cell r="D16277" t="str">
            <v>MYR537Agosto2026</v>
          </cell>
          <cell r="E16277" t="str">
            <v>CENCOMLD - Cencosud SA - Mendoza</v>
          </cell>
        </row>
        <row r="16278">
          <cell r="D16278" t="str">
            <v>NIE146Agosto2026</v>
          </cell>
          <cell r="E16278" t="str">
            <v>CMQ_TTE - QUILMES TTE</v>
          </cell>
        </row>
        <row r="16279">
          <cell r="D16279" t="str">
            <v>NIE147Agosto2026</v>
          </cell>
          <cell r="E16279" t="str">
            <v>CMQ_TTE - QUILMES TTE</v>
          </cell>
        </row>
        <row r="16280">
          <cell r="D16280" t="str">
            <v>NIE148Agosto2026</v>
          </cell>
          <cell r="E16280" t="str">
            <v>Papelera - Papelera del Plata S.A.</v>
          </cell>
        </row>
        <row r="16281">
          <cell r="D16281" t="str">
            <v>NIE149Agosto2026</v>
          </cell>
          <cell r="E16281" t="str">
            <v>CMQ_TTE - QUILMES TTE</v>
          </cell>
        </row>
        <row r="16282">
          <cell r="D16282" t="str">
            <v>NIE150Agosto2026</v>
          </cell>
          <cell r="E16282" t="str">
            <v>Papelera - Papelera del Plata S.A.</v>
          </cell>
        </row>
        <row r="16283">
          <cell r="D16283" t="str">
            <v>NIE152Agosto2026</v>
          </cell>
          <cell r="E16283" t="str">
            <v>CMQ_TTE - QUILMES TTE</v>
          </cell>
        </row>
        <row r="16284">
          <cell r="D16284" t="str">
            <v>NIE153Agosto2026</v>
          </cell>
          <cell r="E16284" t="str">
            <v>CMQ_TTE - QUILMES TTE</v>
          </cell>
        </row>
        <row r="16285">
          <cell r="D16285" t="str">
            <v>NIE154Agosto2026</v>
          </cell>
          <cell r="E16285" t="str">
            <v>CMQ_TTE - QUILMES TTE</v>
          </cell>
        </row>
        <row r="16286">
          <cell r="D16286" t="str">
            <v>NIE155Agosto2026</v>
          </cell>
          <cell r="E16286" t="str">
            <v>Papelera - Papelera del Plata S.A.</v>
          </cell>
        </row>
        <row r="16287">
          <cell r="D16287" t="str">
            <v>NUG769Agosto2026</v>
          </cell>
          <cell r="E16287" t="str">
            <v>BAJA</v>
          </cell>
        </row>
        <row r="16288">
          <cell r="D16288" t="str">
            <v>NVX394Agosto2026</v>
          </cell>
          <cell r="E16288" t="str">
            <v>CIMSA_MZA</v>
          </cell>
        </row>
        <row r="16289">
          <cell r="D16289" t="str">
            <v>NWV169Agosto2026</v>
          </cell>
          <cell r="E16289" t="str">
            <v>Expreso - Servicios Troncales</v>
          </cell>
        </row>
        <row r="16290">
          <cell r="D16290" t="str">
            <v>NWV170Agosto2026</v>
          </cell>
          <cell r="E16290" t="str">
            <v>Expreso - Servicios Troncales</v>
          </cell>
        </row>
        <row r="16291">
          <cell r="D16291" t="str">
            <v>NWV171Agosto2026</v>
          </cell>
          <cell r="E16291" t="str">
            <v>Expreso - Servicios Troncales</v>
          </cell>
        </row>
        <row r="16292">
          <cell r="D16292" t="str">
            <v>NWV172Agosto2026</v>
          </cell>
          <cell r="E16292" t="str">
            <v>Expreso - Servicios Troncales</v>
          </cell>
        </row>
        <row r="16293">
          <cell r="D16293" t="str">
            <v>OAF635Agosto2026</v>
          </cell>
          <cell r="E16293" t="str">
            <v>Expreso - Servicios Troncales</v>
          </cell>
        </row>
        <row r="16294">
          <cell r="D16294" t="str">
            <v>OAF636Agosto2026</v>
          </cell>
          <cell r="E16294" t="str">
            <v>Expreso - Servicios Troncales</v>
          </cell>
        </row>
        <row r="16295">
          <cell r="D16295" t="str">
            <v>OAF637Agosto2026</v>
          </cell>
          <cell r="E16295" t="str">
            <v>Expreso - Servicios Troncales</v>
          </cell>
        </row>
        <row r="16296">
          <cell r="D16296" t="str">
            <v>OAF638Agosto2026</v>
          </cell>
          <cell r="E16296" t="str">
            <v>Expreso - Servicios Troncales</v>
          </cell>
        </row>
        <row r="16297">
          <cell r="D16297" t="str">
            <v>OAF639Agosto2026</v>
          </cell>
          <cell r="E16297" t="str">
            <v>CENCOMLD - Cencosud SA - Mendoza</v>
          </cell>
        </row>
        <row r="16298">
          <cell r="D16298" t="str">
            <v>OAF640Agosto2026</v>
          </cell>
          <cell r="E16298" t="str">
            <v>Expreso - Servicios Troncales</v>
          </cell>
        </row>
        <row r="16299">
          <cell r="D16299" t="str">
            <v>OAF641Agosto2026</v>
          </cell>
          <cell r="E16299" t="str">
            <v>Expreso - Servicios Troncales</v>
          </cell>
        </row>
        <row r="16300">
          <cell r="D16300" t="str">
            <v>OAF642Agosto2026</v>
          </cell>
          <cell r="E16300" t="str">
            <v>Expreso - Servicios Troncales</v>
          </cell>
        </row>
        <row r="16301">
          <cell r="D16301" t="str">
            <v>OAF643Agosto2026</v>
          </cell>
          <cell r="E16301" t="str">
            <v>Expreso - Servicios Troncales</v>
          </cell>
        </row>
        <row r="16302">
          <cell r="D16302" t="str">
            <v>OAF644Agosto2026</v>
          </cell>
          <cell r="E16302" t="str">
            <v>Expreso - Servicios Troncales</v>
          </cell>
        </row>
        <row r="16303">
          <cell r="D16303" t="str">
            <v>OAF653Agosto2026</v>
          </cell>
          <cell r="E16303" t="str">
            <v>Expreso - Servicios Troncales</v>
          </cell>
        </row>
        <row r="16304">
          <cell r="D16304" t="str">
            <v>OFF648Agosto2026</v>
          </cell>
          <cell r="E16304" t="str">
            <v>CMQ_TTE - QUILMES TTE</v>
          </cell>
        </row>
        <row r="16305">
          <cell r="D16305" t="str">
            <v>OFV178Agosto2026</v>
          </cell>
          <cell r="E16305" t="str">
            <v>JOHNSON - SC JOHNSON DE ARGENTINA SAIC</v>
          </cell>
        </row>
        <row r="16306">
          <cell r="D16306" t="str">
            <v>OFV179Agosto2026</v>
          </cell>
          <cell r="E16306" t="str">
            <v>Molca</v>
          </cell>
        </row>
        <row r="16307">
          <cell r="D16307" t="str">
            <v>OFZ590Agosto2026</v>
          </cell>
          <cell r="E16307" t="str">
            <v>Molca</v>
          </cell>
        </row>
        <row r="16308">
          <cell r="D16308" t="str">
            <v>OFZ591Agosto2026</v>
          </cell>
          <cell r="E16308" t="str">
            <v>Unilever - Unilever de Arg. S.A.</v>
          </cell>
        </row>
        <row r="16309">
          <cell r="D16309" t="str">
            <v>OFZ592Agosto2026</v>
          </cell>
          <cell r="E16309" t="str">
            <v>Expreso - Servicios Troncales</v>
          </cell>
        </row>
        <row r="16310">
          <cell r="D16310" t="str">
            <v>OHH586Agosto2026</v>
          </cell>
          <cell r="E16310" t="str">
            <v>CCUDyAZA</v>
          </cell>
        </row>
        <row r="16311">
          <cell r="D16311" t="str">
            <v>OHH588Agosto2026</v>
          </cell>
          <cell r="E16311" t="str">
            <v>CCUDyAZA</v>
          </cell>
        </row>
        <row r="16312">
          <cell r="D16312" t="str">
            <v>OHH589Agosto2026</v>
          </cell>
          <cell r="E16312" t="str">
            <v>CMQ_TTE - QUILMES TTE</v>
          </cell>
        </row>
        <row r="16313">
          <cell r="D16313" t="str">
            <v>OHH590Agosto2026</v>
          </cell>
          <cell r="E16313" t="str">
            <v>CCUDyAZA</v>
          </cell>
        </row>
        <row r="16314">
          <cell r="D16314" t="str">
            <v>OHH591Agosto2026</v>
          </cell>
          <cell r="E16314" t="str">
            <v>CCUDyAZA</v>
          </cell>
        </row>
        <row r="16315">
          <cell r="D16315" t="str">
            <v>OHH592Agosto2026</v>
          </cell>
          <cell r="E16315" t="str">
            <v>CMQ_TTE - QUILMES TTE</v>
          </cell>
        </row>
        <row r="16316">
          <cell r="D16316" t="str">
            <v>OHH593Agosto2026</v>
          </cell>
          <cell r="E16316" t="str">
            <v>CCUCoAZA</v>
          </cell>
        </row>
        <row r="16317">
          <cell r="D16317" t="str">
            <v>OHH595Agosto2026</v>
          </cell>
          <cell r="E16317" t="str">
            <v>CCUDyAZA</v>
          </cell>
        </row>
        <row r="16318">
          <cell r="D16318" t="str">
            <v>OHH596Agosto2026</v>
          </cell>
          <cell r="E16318" t="str">
            <v>CCUCoAZA</v>
          </cell>
        </row>
        <row r="16319">
          <cell r="D16319" t="str">
            <v>OHH597Agosto2026</v>
          </cell>
          <cell r="E16319" t="str">
            <v>CMQ_TTE - QUILMES TTE</v>
          </cell>
        </row>
        <row r="16320">
          <cell r="D16320" t="str">
            <v>OIC418Agosto2026</v>
          </cell>
          <cell r="E16320" t="str">
            <v>CCUDyAZA</v>
          </cell>
        </row>
        <row r="16321">
          <cell r="D16321" t="str">
            <v>OIC419Agosto2026</v>
          </cell>
          <cell r="E16321" t="str">
            <v>CCUDyAZA</v>
          </cell>
        </row>
        <row r="16322">
          <cell r="D16322" t="str">
            <v>OJG060Agosto2026</v>
          </cell>
          <cell r="E16322" t="str">
            <v>CCUDyAZA</v>
          </cell>
        </row>
        <row r="16323">
          <cell r="D16323" t="str">
            <v>OJG061Agosto2026</v>
          </cell>
          <cell r="E16323" t="str">
            <v>CCUDyAZA</v>
          </cell>
        </row>
        <row r="16324">
          <cell r="D16324" t="str">
            <v>OJG062Agosto2026</v>
          </cell>
          <cell r="E16324" t="str">
            <v>CCUDyAZA</v>
          </cell>
        </row>
        <row r="16325">
          <cell r="D16325" t="str">
            <v>OJG063Agosto2026</v>
          </cell>
          <cell r="E16325" t="str">
            <v>CCUCoAZA</v>
          </cell>
        </row>
        <row r="16326">
          <cell r="D16326" t="str">
            <v>OJG064Agosto2026</v>
          </cell>
          <cell r="E16326" t="str">
            <v>CMQ_TTE - QUILMES TTE</v>
          </cell>
        </row>
        <row r="16327">
          <cell r="D16327" t="str">
            <v>OJG065Agosto2026</v>
          </cell>
          <cell r="E16327" t="str">
            <v>CCUDyAZA</v>
          </cell>
        </row>
        <row r="16328">
          <cell r="D16328" t="str">
            <v>OJG072Agosto2026</v>
          </cell>
          <cell r="E16328" t="str">
            <v>CMQ_TTE - QUILMES TTE</v>
          </cell>
        </row>
        <row r="16329">
          <cell r="D16329" t="str">
            <v>OJG073Agosto2026</v>
          </cell>
          <cell r="E16329" t="str">
            <v>CMQ_TTE - QUILMES TTE</v>
          </cell>
        </row>
        <row r="16330">
          <cell r="D16330" t="str">
            <v>OJG074Agosto2026</v>
          </cell>
          <cell r="E16330" t="str">
            <v>Sin Operación</v>
          </cell>
        </row>
        <row r="16331">
          <cell r="D16331" t="str">
            <v>OJG075Agosto2026</v>
          </cell>
          <cell r="E16331" t="str">
            <v>Expreso - Servicios Troncales</v>
          </cell>
        </row>
        <row r="16332">
          <cell r="D16332" t="str">
            <v>OJG076Agosto2026</v>
          </cell>
          <cell r="E16332" t="str">
            <v>Expreso - Servicios Troncales</v>
          </cell>
        </row>
        <row r="16333">
          <cell r="D16333" t="str">
            <v>OJG097Agosto2026</v>
          </cell>
          <cell r="E16333" t="str">
            <v>CCUDyAZA</v>
          </cell>
        </row>
        <row r="16334">
          <cell r="D16334" t="str">
            <v>OJG098Agosto2026</v>
          </cell>
          <cell r="E16334" t="str">
            <v>CCUDyAZA</v>
          </cell>
        </row>
        <row r="16335">
          <cell r="D16335" t="str">
            <v>OJG099Agosto2026</v>
          </cell>
          <cell r="E16335" t="str">
            <v>CCUDyAZA</v>
          </cell>
        </row>
        <row r="16336">
          <cell r="D16336" t="str">
            <v>OJG101Agosto2026</v>
          </cell>
          <cell r="E16336" t="str">
            <v>CCUDyAZA</v>
          </cell>
        </row>
        <row r="16337">
          <cell r="D16337" t="str">
            <v>OJG103Agosto2026</v>
          </cell>
          <cell r="E16337" t="str">
            <v>Expreso - Servicios Troncales</v>
          </cell>
        </row>
        <row r="16338">
          <cell r="D16338" t="str">
            <v>OMQ198Agosto2026</v>
          </cell>
          <cell r="E16338" t="str">
            <v>CCUDyAZA</v>
          </cell>
        </row>
        <row r="16339">
          <cell r="D16339" t="str">
            <v>OMQ199Agosto2026</v>
          </cell>
          <cell r="E16339" t="str">
            <v>CCUDyAZA</v>
          </cell>
        </row>
        <row r="16340">
          <cell r="D16340" t="str">
            <v>ONB350Agosto2026</v>
          </cell>
          <cell r="E16340" t="str">
            <v>BAJA</v>
          </cell>
        </row>
        <row r="16341">
          <cell r="D16341" t="str">
            <v>ONB392Agosto2026</v>
          </cell>
          <cell r="E16341" t="str">
            <v>BAJA</v>
          </cell>
        </row>
        <row r="16342">
          <cell r="D16342" t="str">
            <v>ONB395Agosto2026</v>
          </cell>
          <cell r="E16342" t="str">
            <v>BAJA</v>
          </cell>
        </row>
        <row r="16343">
          <cell r="D16343" t="str">
            <v>OZH811Agosto2026</v>
          </cell>
          <cell r="E16343" t="str">
            <v>CENCOMLD - Cencosud SA - Mendoza</v>
          </cell>
        </row>
        <row r="16344">
          <cell r="D16344" t="str">
            <v>PDD687Agosto2026</v>
          </cell>
          <cell r="E16344" t="str">
            <v>CENCOMLD - Cencosud SA - Mendoza</v>
          </cell>
        </row>
        <row r="16345">
          <cell r="D16345" t="str">
            <v>PLU468Agosto2026</v>
          </cell>
          <cell r="E16345" t="str">
            <v>JOHNSON - SC JOHNSON DE ARGENTINA SAIC</v>
          </cell>
        </row>
        <row r="16346">
          <cell r="D16346" t="str">
            <v>PLU469Agosto2026</v>
          </cell>
          <cell r="E16346" t="str">
            <v>CCUDyAZA</v>
          </cell>
        </row>
        <row r="16347">
          <cell r="D16347" t="str">
            <v>RAU901Agosto2026</v>
          </cell>
          <cell r="E16347" t="str">
            <v>BAJA</v>
          </cell>
        </row>
        <row r="16348">
          <cell r="D16348" t="str">
            <v>RCS092Agosto2026</v>
          </cell>
          <cell r="E16348" t="str">
            <v>BAJA</v>
          </cell>
        </row>
        <row r="16349">
          <cell r="D16349" t="str">
            <v>RCS097Agosto2026</v>
          </cell>
          <cell r="E16349" t="str">
            <v>SUC_SRA - Sucursal San Rafael</v>
          </cell>
        </row>
        <row r="16350">
          <cell r="D16350" t="str">
            <v>RLD364Agosto2026</v>
          </cell>
          <cell r="E16350" t="str">
            <v>BAJA</v>
          </cell>
        </row>
        <row r="16351">
          <cell r="D16351" t="str">
            <v>RNO350Agosto2026</v>
          </cell>
          <cell r="E16351" t="str">
            <v>FLETERO EXPRESO</v>
          </cell>
        </row>
        <row r="16352">
          <cell r="D16352" t="str">
            <v>RNX412Agosto2026</v>
          </cell>
          <cell r="E16352" t="str">
            <v>Expreso - Servicios Troncales</v>
          </cell>
        </row>
        <row r="16353">
          <cell r="D16353" t="str">
            <v>ROC452Agosto2026</v>
          </cell>
          <cell r="E16353" t="str">
            <v>BAJA</v>
          </cell>
        </row>
        <row r="16354">
          <cell r="D16354" t="str">
            <v>RUT270Agosto2026</v>
          </cell>
          <cell r="E16354" t="str">
            <v>BAJA</v>
          </cell>
        </row>
        <row r="16355">
          <cell r="D16355" t="str">
            <v>SHZ643Agosto2026</v>
          </cell>
          <cell r="E16355" t="str">
            <v>CMQ_TTE - QUILMES TTE</v>
          </cell>
        </row>
        <row r="16356">
          <cell r="D16356" t="str">
            <v>SHZ662Agosto2026</v>
          </cell>
          <cell r="E16356" t="str">
            <v>CMQ_TTE - QUILMES TTE</v>
          </cell>
        </row>
        <row r="16357">
          <cell r="D16357" t="str">
            <v>SKX507Agosto2026</v>
          </cell>
          <cell r="E16357" t="str">
            <v>BAJA</v>
          </cell>
        </row>
        <row r="16358">
          <cell r="D16358" t="str">
            <v>SOC883Agosto2026</v>
          </cell>
          <cell r="E16358" t="str">
            <v>Expreso - Servicios Troncales</v>
          </cell>
        </row>
        <row r="16359">
          <cell r="D16359" t="str">
            <v>SSC171Agosto2026</v>
          </cell>
          <cell r="E16359" t="str">
            <v>BAJA</v>
          </cell>
        </row>
        <row r="16360">
          <cell r="D16360" t="str">
            <v>SXB013Agosto2026</v>
          </cell>
          <cell r="E16360" t="str">
            <v>BAJA</v>
          </cell>
        </row>
        <row r="16361">
          <cell r="D16361" t="str">
            <v>SYA640Agosto2026</v>
          </cell>
          <cell r="E16361" t="str">
            <v>BAJA</v>
          </cell>
        </row>
        <row r="16362">
          <cell r="D16362" t="str">
            <v>SYG971Agosto2026</v>
          </cell>
          <cell r="E16362" t="str">
            <v>Sin Operación</v>
          </cell>
        </row>
        <row r="16363">
          <cell r="D16363" t="str">
            <v>SYG972Agosto2026</v>
          </cell>
          <cell r="E16363" t="str">
            <v>BAJA</v>
          </cell>
        </row>
        <row r="16364">
          <cell r="D16364" t="str">
            <v>SYG989Agosto2026</v>
          </cell>
          <cell r="E16364" t="str">
            <v>BAJA</v>
          </cell>
        </row>
        <row r="16365">
          <cell r="D16365" t="str">
            <v>SYP554Agosto2026</v>
          </cell>
          <cell r="E16365" t="str">
            <v>Sin Operación</v>
          </cell>
        </row>
        <row r="16366">
          <cell r="D16366" t="str">
            <v>TDP263Agosto2026</v>
          </cell>
          <cell r="E16366" t="str">
            <v>BAJA</v>
          </cell>
        </row>
        <row r="16367">
          <cell r="D16367" t="str">
            <v>TJK520Agosto2026</v>
          </cell>
          <cell r="E16367" t="str">
            <v>BAJA</v>
          </cell>
        </row>
        <row r="16368">
          <cell r="D16368" t="str">
            <v>TLH736Agosto2026</v>
          </cell>
          <cell r="E16368" t="str">
            <v>SUC_SRA - Sucursal San Rafael</v>
          </cell>
        </row>
        <row r="16369">
          <cell r="D16369" t="str">
            <v>TMF902Agosto2026</v>
          </cell>
          <cell r="E16369" t="str">
            <v>BAJA</v>
          </cell>
        </row>
        <row r="16370">
          <cell r="D16370" t="str">
            <v>TMF909Agosto2026</v>
          </cell>
          <cell r="E16370" t="str">
            <v>INACTIVO</v>
          </cell>
        </row>
        <row r="16371">
          <cell r="D16371" t="str">
            <v>TPL487Agosto2026</v>
          </cell>
          <cell r="E16371" t="str">
            <v>BAJA</v>
          </cell>
        </row>
        <row r="16372">
          <cell r="D16372" t="str">
            <v>TPQ039Agosto2026</v>
          </cell>
          <cell r="E16372" t="str">
            <v>CMQ_TTE - QUILMES TTE</v>
          </cell>
        </row>
        <row r="16373">
          <cell r="D16373" t="str">
            <v>TQM070Agosto2026</v>
          </cell>
          <cell r="E16373" t="str">
            <v>BAJA</v>
          </cell>
        </row>
        <row r="16374">
          <cell r="D16374" t="str">
            <v>TRC504Agosto2026</v>
          </cell>
          <cell r="E16374" t="str">
            <v>BAJA</v>
          </cell>
        </row>
        <row r="16375">
          <cell r="D16375" t="str">
            <v>TSL775Agosto2026</v>
          </cell>
          <cell r="E16375" t="str">
            <v>INACTIVO</v>
          </cell>
        </row>
        <row r="16376">
          <cell r="D16376" t="str">
            <v>TTV896Agosto2026</v>
          </cell>
          <cell r="E16376" t="str">
            <v>INACTIVO</v>
          </cell>
        </row>
        <row r="16377">
          <cell r="D16377" t="str">
            <v>TTV898Agosto2026</v>
          </cell>
          <cell r="E16377" t="str">
            <v>INACTIVO</v>
          </cell>
        </row>
        <row r="16378">
          <cell r="D16378" t="str">
            <v>TTV899Agosto2026</v>
          </cell>
          <cell r="E16378" t="str">
            <v>Sin Operación</v>
          </cell>
        </row>
        <row r="16379">
          <cell r="D16379" t="str">
            <v>UGC053Agosto2026</v>
          </cell>
          <cell r="E16379" t="str">
            <v>BAJA</v>
          </cell>
        </row>
        <row r="16380">
          <cell r="D16380" t="str">
            <v>UTX203Agosto2026</v>
          </cell>
          <cell r="E16380" t="str">
            <v>INACTIVO</v>
          </cell>
        </row>
        <row r="16381">
          <cell r="D16381" t="str">
            <v>UTX205Agosto2026</v>
          </cell>
          <cell r="E16381" t="str">
            <v>INACTIVO</v>
          </cell>
        </row>
        <row r="16382">
          <cell r="D16382" t="str">
            <v>UVL969Agosto2026</v>
          </cell>
          <cell r="E16382" t="str">
            <v>INACTIVO</v>
          </cell>
        </row>
        <row r="16383">
          <cell r="D16383" t="str">
            <v>VJQ213Agosto2026</v>
          </cell>
          <cell r="E16383" t="str">
            <v>Sin Operación</v>
          </cell>
        </row>
        <row r="16384">
          <cell r="D16384" t="str">
            <v>VJQ325Agosto2026</v>
          </cell>
          <cell r="E16384" t="str">
            <v>BAJA</v>
          </cell>
        </row>
        <row r="16385">
          <cell r="D16385" t="str">
            <v>VLM778Agosto2026</v>
          </cell>
          <cell r="E16385" t="str">
            <v>BAJA</v>
          </cell>
        </row>
        <row r="16386">
          <cell r="D16386" t="str">
            <v>VOO986Agosto2026</v>
          </cell>
          <cell r="E16386" t="str">
            <v>BAJA</v>
          </cell>
        </row>
        <row r="16387">
          <cell r="D16387" t="str">
            <v>VOO996Agosto2026</v>
          </cell>
          <cell r="E16387" t="str">
            <v>BAJA</v>
          </cell>
        </row>
        <row r="16388">
          <cell r="D16388" t="str">
            <v>VPC769Agosto2026</v>
          </cell>
          <cell r="E16388" t="str">
            <v>BAJA</v>
          </cell>
        </row>
        <row r="16389">
          <cell r="D16389" t="str">
            <v>VPS388Agosto2026</v>
          </cell>
          <cell r="E16389" t="str">
            <v>INACTIVO</v>
          </cell>
        </row>
        <row r="16390">
          <cell r="D16390" t="str">
            <v>VPS391Agosto2026</v>
          </cell>
          <cell r="E16390" t="str">
            <v>INACTIVO</v>
          </cell>
        </row>
        <row r="16391">
          <cell r="D16391" t="str">
            <v>WBL441Agosto2026</v>
          </cell>
          <cell r="E16391" t="str">
            <v>BAJA</v>
          </cell>
        </row>
        <row r="16392">
          <cell r="D16392" t="str">
            <v>WEC405Agosto2026</v>
          </cell>
          <cell r="E16392" t="str">
            <v>FLETERO EXPRESO</v>
          </cell>
        </row>
        <row r="16393">
          <cell r="D16393" t="str">
            <v>WHP090Agosto2026</v>
          </cell>
          <cell r="E16393" t="str">
            <v>BAJA</v>
          </cell>
        </row>
        <row r="16394">
          <cell r="D16394" t="str">
            <v>ZZ000HCAgosto2026</v>
          </cell>
          <cell r="E16394" t="str">
            <v>SUC_SRA - Sucursal San Rafael</v>
          </cell>
        </row>
        <row r="16395">
          <cell r="D16395" t="str">
            <v>ZZ000HDAgosto2026</v>
          </cell>
          <cell r="E16395" t="str">
            <v>Sin Operación</v>
          </cell>
        </row>
        <row r="16396">
          <cell r="D16396" t="str">
            <v>AC066VHAgosto2026</v>
          </cell>
          <cell r="E16396" t="str">
            <v>SUC_MEN - Sucursal Mendoza</v>
          </cell>
        </row>
        <row r="16397">
          <cell r="D16397" t="str">
            <v>KJT198Agosto2026</v>
          </cell>
          <cell r="E16397" t="str">
            <v>SUC_MEN - Sucursal Mendoza</v>
          </cell>
        </row>
        <row r="16398">
          <cell r="D16398" t="str">
            <v>HOA944Agosto2026</v>
          </cell>
          <cell r="E16398" t="str">
            <v>SUC_MEN - Sucursal Mendoza</v>
          </cell>
        </row>
        <row r="16399">
          <cell r="D16399" t="str">
            <v>TAILIFT CKAgosto2026</v>
          </cell>
          <cell r="E16399" t="e">
            <v>#N/A</v>
          </cell>
        </row>
        <row r="16400">
          <cell r="D16400" t="str">
            <v>Zorra Hidraulica Electrica SRFAgosto2026</v>
          </cell>
          <cell r="E16400" t="e">
            <v>#N/A</v>
          </cell>
        </row>
        <row r="16401">
          <cell r="D16401" t="str">
            <v>AUTOELEVADOR HELIAgosto2026</v>
          </cell>
          <cell r="E16401" t="e">
            <v>#N/A</v>
          </cell>
        </row>
        <row r="16402">
          <cell r="D16402" t="str">
            <v>Zorra Hidraulica Electrica REAAgosto2026</v>
          </cell>
          <cell r="E16402" t="e">
            <v>#N/A</v>
          </cell>
        </row>
        <row r="16403">
          <cell r="D16403" t="str">
            <v>TOYOTA CKAgosto2026</v>
          </cell>
          <cell r="E16403" t="e">
            <v>#N/A</v>
          </cell>
        </row>
        <row r="16404">
          <cell r="D16404" t="str">
            <v>ZORRAHIDRAULICAAgosto2026</v>
          </cell>
          <cell r="E16404" t="e">
            <v>#N/A</v>
          </cell>
        </row>
        <row r="16405">
          <cell r="D16405" t="str">
            <v>INSUMOS SRFAgosto2026</v>
          </cell>
          <cell r="E16405" t="e">
            <v>#N/A</v>
          </cell>
        </row>
        <row r="16406">
          <cell r="D16406" t="str">
            <v>INSUMOS BAAgosto2026</v>
          </cell>
          <cell r="E16406" t="e">
            <v>#N/A</v>
          </cell>
        </row>
        <row r="16407">
          <cell r="D16407" t="str">
            <v>INSUMOS MZAAgosto2026</v>
          </cell>
          <cell r="E16407" t="e">
            <v>#N/A</v>
          </cell>
        </row>
        <row r="16408">
          <cell r="D16408" t="str">
            <v>CONTRATO CDYAgosto2026</v>
          </cell>
          <cell r="E16408" t="e">
            <v>#N/A</v>
          </cell>
        </row>
        <row r="16409">
          <cell r="D16409" t="str">
            <v>CONTRATO DYLAgosto2026</v>
          </cell>
          <cell r="E16409" t="e">
            <v>#N/A</v>
          </cell>
        </row>
        <row r="16410">
          <cell r="D16410" t="str">
            <v>CONTRATO EXPAgosto2026</v>
          </cell>
          <cell r="E16410" t="e">
            <v>#N/A</v>
          </cell>
        </row>
        <row r="16411">
          <cell r="D16411" t="str">
            <v>CONTRATO TDUAgosto2026</v>
          </cell>
          <cell r="E16411" t="e">
            <v>#N/A</v>
          </cell>
        </row>
        <row r="16412">
          <cell r="D16412" t="str">
            <v>CONTRATO CDYAgosto2026</v>
          </cell>
          <cell r="E16412" t="e">
            <v>#N/A</v>
          </cell>
        </row>
        <row r="16413">
          <cell r="D16413" t="str">
            <v>CONTRATO CDYAgosto2026</v>
          </cell>
          <cell r="E16413" t="e">
            <v>#N/A</v>
          </cell>
        </row>
        <row r="16414">
          <cell r="D16414" t="str">
            <v>CONTRATO CDYAgosto2026</v>
          </cell>
          <cell r="E16414" t="e">
            <v>#N/A</v>
          </cell>
        </row>
        <row r="16415">
          <cell r="D16415" t="str">
            <v>CONTRATO CDYAgosto2026</v>
          </cell>
          <cell r="E16415" t="e">
            <v>#N/A</v>
          </cell>
        </row>
        <row r="16416">
          <cell r="D16416" t="str">
            <v>CONTRATO CDYAgosto2026</v>
          </cell>
          <cell r="E16416" t="e">
            <v>#N/A</v>
          </cell>
        </row>
        <row r="16417">
          <cell r="D16417" t="str">
            <v>CONTRATO CDYAgosto2026</v>
          </cell>
          <cell r="E16417" t="e">
            <v>#N/A</v>
          </cell>
        </row>
        <row r="16418">
          <cell r="D16418" t="str">
            <v>CONTRATO CDYAgosto2026</v>
          </cell>
          <cell r="E16418" t="e">
            <v>#N/A</v>
          </cell>
        </row>
        <row r="16419">
          <cell r="D16419" t="str">
            <v>CONTRATO CDYAgosto2026</v>
          </cell>
          <cell r="E16419" t="e">
            <v>#N/A</v>
          </cell>
        </row>
        <row r="16420">
          <cell r="D16420" t="str">
            <v>CONTRATO DYLAgosto2026</v>
          </cell>
          <cell r="E16420" t="e">
            <v>#N/A</v>
          </cell>
        </row>
        <row r="16421">
          <cell r="D16421" t="str">
            <v>CONTRATO DYLAgosto2026</v>
          </cell>
          <cell r="E16421" t="e">
            <v>#N/A</v>
          </cell>
        </row>
        <row r="16422">
          <cell r="D16422" t="str">
            <v>CONTRATO DYLAgosto2026</v>
          </cell>
          <cell r="E16422" t="e">
            <v>#N/A</v>
          </cell>
        </row>
        <row r="16423">
          <cell r="D16423" t="str">
            <v>CONTRATO DYLAgosto2026</v>
          </cell>
          <cell r="E16423" t="e">
            <v>#N/A</v>
          </cell>
        </row>
        <row r="16424">
          <cell r="D16424" t="str">
            <v>CONTRATO DYLAgosto2026</v>
          </cell>
          <cell r="E16424" t="e">
            <v>#N/A</v>
          </cell>
        </row>
        <row r="16425">
          <cell r="D16425" t="str">
            <v>CONTRATO DYLAgosto2026</v>
          </cell>
          <cell r="E16425" t="e">
            <v>#N/A</v>
          </cell>
        </row>
        <row r="16426">
          <cell r="D16426" t="str">
            <v>CONTRATO TDUAgosto2026</v>
          </cell>
          <cell r="E16426" t="e">
            <v>#N/A</v>
          </cell>
        </row>
        <row r="16427">
          <cell r="D16427" t="str">
            <v>CONTRATO TDUAgosto2026</v>
          </cell>
          <cell r="E16427" t="e">
            <v>#N/A</v>
          </cell>
        </row>
        <row r="16428">
          <cell r="D16428" t="str">
            <v>CONTRATO TDUAgosto2026</v>
          </cell>
          <cell r="E16428" t="e">
            <v>#N/A</v>
          </cell>
        </row>
        <row r="16429">
          <cell r="D16429" t="str">
            <v>CONTRATO EXPAgosto2026</v>
          </cell>
          <cell r="E16429" t="e">
            <v>#N/A</v>
          </cell>
        </row>
        <row r="16430">
          <cell r="D16430" t="str">
            <v>CONTRATO EXPAgosto2026</v>
          </cell>
          <cell r="E16430" t="e">
            <v>#N/A</v>
          </cell>
        </row>
        <row r="16431">
          <cell r="D16431" t="str">
            <v>CONTRATO EXPAgosto2026</v>
          </cell>
          <cell r="E16431" t="e">
            <v>#N/A</v>
          </cell>
        </row>
        <row r="16432">
          <cell r="D16432" t="str">
            <v>CONTRATO EXPAgosto2026</v>
          </cell>
          <cell r="E16432" t="e">
            <v>#N/A</v>
          </cell>
        </row>
        <row r="16433">
          <cell r="D16433" t="str">
            <v>CONTRATO EXPAgosto2026</v>
          </cell>
          <cell r="E16433" t="e">
            <v>#N/A</v>
          </cell>
        </row>
        <row r="16434">
          <cell r="D16434" t="str">
            <v>CONTRATO EXPAgosto2026</v>
          </cell>
          <cell r="E16434" t="e">
            <v>#N/A</v>
          </cell>
        </row>
        <row r="16435">
          <cell r="D16435" t="str">
            <v>CONTRATO EXPAgosto2026</v>
          </cell>
          <cell r="E16435" t="e">
            <v>#N/A</v>
          </cell>
        </row>
        <row r="16436">
          <cell r="D16436" t="str">
            <v>CONTRATO EXPAgosto2026</v>
          </cell>
          <cell r="E16436" t="e">
            <v>#N/A</v>
          </cell>
        </row>
        <row r="16437">
          <cell r="D16437" t="str">
            <v>CONTRATO EXPAgosto2026</v>
          </cell>
          <cell r="E16437" t="e">
            <v>#N/A</v>
          </cell>
        </row>
        <row r="16438">
          <cell r="D16438" t="str">
            <v xml:space="preserve"> FVA790Septiembre2026</v>
          </cell>
          <cell r="E16438" t="str">
            <v>BAJA</v>
          </cell>
        </row>
        <row r="16439">
          <cell r="D16439" t="str">
            <v>AA009OZSeptiembre2026</v>
          </cell>
          <cell r="E16439" t="str">
            <v>BAJA</v>
          </cell>
        </row>
        <row r="16440">
          <cell r="D16440" t="str">
            <v>AB010SBSeptiembre2026</v>
          </cell>
          <cell r="E16440" t="str">
            <v>BAJA</v>
          </cell>
        </row>
        <row r="16441">
          <cell r="D16441" t="str">
            <v>AB010VTSeptiembre2026</v>
          </cell>
          <cell r="E16441" t="str">
            <v>BAJA</v>
          </cell>
        </row>
        <row r="16442">
          <cell r="D16442" t="str">
            <v>AB029TNSeptiembre2026</v>
          </cell>
          <cell r="E16442" t="str">
            <v>Unilever - Unilever de Arg. S.A.</v>
          </cell>
        </row>
        <row r="16443">
          <cell r="D16443" t="str">
            <v>AB320YQSeptiembre2026</v>
          </cell>
          <cell r="E16443" t="str">
            <v>CCU_MZA - Comp. Cerv. Unidas - MZA</v>
          </cell>
        </row>
        <row r="16444">
          <cell r="D16444" t="str">
            <v>AB320YWSeptiembre2026</v>
          </cell>
          <cell r="E16444" t="str">
            <v>CCUDyAZA</v>
          </cell>
        </row>
        <row r="16445">
          <cell r="D16445" t="str">
            <v>AC354MNSeptiembre2026</v>
          </cell>
          <cell r="E16445" t="str">
            <v>BAJA</v>
          </cell>
        </row>
        <row r="16446">
          <cell r="D16446" t="str">
            <v>AC794NPSeptiembre2026</v>
          </cell>
          <cell r="E16446" t="str">
            <v>BAJA</v>
          </cell>
        </row>
        <row r="16447">
          <cell r="D16447" t="str">
            <v>ACT090Septiembre2026</v>
          </cell>
          <cell r="E16447" t="str">
            <v>CMQ_TTE - QUILMES TTE</v>
          </cell>
        </row>
        <row r="16448">
          <cell r="D16448" t="str">
            <v>AD367PXSeptiembre2026</v>
          </cell>
          <cell r="E16448" t="str">
            <v>ADA_CH - Danone Arg. S.A. - Chascomus</v>
          </cell>
        </row>
        <row r="16449">
          <cell r="D16449" t="str">
            <v>AD367PZSeptiembre2026</v>
          </cell>
          <cell r="E16449" t="str">
            <v>ADA_CH - Danone Arg. S.A. - Chascomus</v>
          </cell>
        </row>
        <row r="16450">
          <cell r="D16450" t="str">
            <v>AD367QASeptiembre2026</v>
          </cell>
          <cell r="E16450" t="str">
            <v>ADA_CH - Danone Arg. S.A. - Chascomus</v>
          </cell>
        </row>
        <row r="16451">
          <cell r="D16451" t="str">
            <v>AD367QBSeptiembre2026</v>
          </cell>
          <cell r="E16451" t="str">
            <v>ADA_CH - Danone Arg. S.A. - Chascomus</v>
          </cell>
        </row>
        <row r="16452">
          <cell r="D16452" t="str">
            <v>AD367QCSeptiembre2026</v>
          </cell>
          <cell r="E16452" t="str">
            <v>ADA_CH - Danone Arg. S.A. - Chascomus</v>
          </cell>
        </row>
        <row r="16453">
          <cell r="D16453" t="str">
            <v>AD367QDSeptiembre2026</v>
          </cell>
          <cell r="E16453" t="str">
            <v>ADA_CH - Danone Arg. S.A. - Chascomus</v>
          </cell>
        </row>
        <row r="16454">
          <cell r="D16454" t="str">
            <v>AD367QFSeptiembre2026</v>
          </cell>
          <cell r="E16454" t="str">
            <v>ADA_CH - Danone Arg. S.A. - Chascomus</v>
          </cell>
        </row>
        <row r="16455">
          <cell r="D16455" t="str">
            <v>AD426HTSeptiembre2026</v>
          </cell>
          <cell r="E16455" t="str">
            <v>ADA_CH - Danone Arg. S.A. - Chascomus</v>
          </cell>
        </row>
        <row r="16456">
          <cell r="D16456" t="str">
            <v>AD426HUSeptiembre2026</v>
          </cell>
          <cell r="E16456" t="str">
            <v>ADA_CH - Danone Arg. S.A. - Chascomus</v>
          </cell>
        </row>
        <row r="16457">
          <cell r="D16457" t="str">
            <v>AD426HVSeptiembre2026</v>
          </cell>
          <cell r="E16457" t="str">
            <v>ADA_CH - Danone Arg. S.A. - Chascomus</v>
          </cell>
        </row>
        <row r="16458">
          <cell r="D16458" t="str">
            <v>AD426HWSeptiembre2026</v>
          </cell>
          <cell r="E16458" t="str">
            <v>ADA_CH - Danone Arg. S.A. - Chascomus</v>
          </cell>
        </row>
        <row r="16459">
          <cell r="D16459" t="str">
            <v>AD426HXSeptiembre2026</v>
          </cell>
          <cell r="E16459" t="str">
            <v>ADA_CH - Danone Arg. S.A. - Chascomus</v>
          </cell>
        </row>
        <row r="16460">
          <cell r="D16460" t="str">
            <v>AD426HYSeptiembre2026</v>
          </cell>
          <cell r="E16460" t="str">
            <v>ADA_CH - Danone Arg. S.A. - Chascomus</v>
          </cell>
        </row>
        <row r="16461">
          <cell r="D16461" t="str">
            <v>AD426HZSeptiembre2026</v>
          </cell>
          <cell r="E16461" t="str">
            <v>ADA_CH - Danone Arg. S.A. - Chascomus</v>
          </cell>
        </row>
        <row r="16462">
          <cell r="D16462" t="str">
            <v>AD426IFSeptiembre2026</v>
          </cell>
          <cell r="E16462" t="str">
            <v>ADA_CH - Danone Arg. S.A. - Chascomus</v>
          </cell>
        </row>
        <row r="16463">
          <cell r="D16463" t="str">
            <v>AD426IHSeptiembre2026</v>
          </cell>
          <cell r="E16463" t="str">
            <v>ADA_CH - Danone Arg. S.A. - Chascomus</v>
          </cell>
        </row>
        <row r="16464">
          <cell r="D16464" t="str">
            <v>AD426IISeptiembre2026</v>
          </cell>
          <cell r="E16464" t="str">
            <v>BAJA</v>
          </cell>
        </row>
        <row r="16465">
          <cell r="D16465" t="str">
            <v>AD426IJSeptiembre2026</v>
          </cell>
          <cell r="E16465" t="str">
            <v>ADA_CH - Danone Arg. S.A. - Chascomus</v>
          </cell>
        </row>
        <row r="16466">
          <cell r="D16466" t="str">
            <v>AE243WVSeptiembre2026</v>
          </cell>
          <cell r="E16466" t="str">
            <v>CENCOMLD - Cencosud SA - Mendoza</v>
          </cell>
        </row>
        <row r="16467">
          <cell r="D16467" t="str">
            <v>AE297QNSeptiembre2026</v>
          </cell>
          <cell r="E16467" t="str">
            <v>CMQ_TTE - QUILMES TTE</v>
          </cell>
        </row>
        <row r="16468">
          <cell r="D16468" t="str">
            <v>AE356ZBSeptiembre2026</v>
          </cell>
          <cell r="E16468" t="str">
            <v>CENCOMLD - Cencosud SA - Mendoza</v>
          </cell>
        </row>
        <row r="16469">
          <cell r="D16469" t="str">
            <v>AE361VQSeptiembre2026</v>
          </cell>
          <cell r="E16469" t="str">
            <v>BAJA</v>
          </cell>
        </row>
        <row r="16470">
          <cell r="D16470" t="str">
            <v>AE700VNSeptiembre2026</v>
          </cell>
          <cell r="E16470" t="str">
            <v>Expreso - Servicios Troncales</v>
          </cell>
        </row>
        <row r="16471">
          <cell r="D16471" t="str">
            <v>AE700VSSeptiembre2026</v>
          </cell>
          <cell r="E16471" t="str">
            <v>Expreso - Servicios Troncales</v>
          </cell>
        </row>
        <row r="16472">
          <cell r="D16472" t="str">
            <v>AE787OQSeptiembre2026</v>
          </cell>
          <cell r="E16472" t="str">
            <v>CENCOMLD - Cencosud SA - Mendoza</v>
          </cell>
        </row>
        <row r="16473">
          <cell r="D16473" t="str">
            <v>AE794VCSeptiembre2026</v>
          </cell>
          <cell r="E16473" t="str">
            <v>SUC_MEN - Sucursal Mendoza</v>
          </cell>
        </row>
        <row r="16474">
          <cell r="D16474" t="str">
            <v>AE972ZSSeptiembre2026</v>
          </cell>
          <cell r="E16474" t="str">
            <v>CENCOMLD - Cencosud SA - Mendoza</v>
          </cell>
        </row>
        <row r="16475">
          <cell r="D16475" t="str">
            <v>AF066NSSeptiembre2026</v>
          </cell>
          <cell r="E16475" t="str">
            <v>CMQ_TTE - QUILMES TTE</v>
          </cell>
        </row>
        <row r="16476">
          <cell r="D16476" t="str">
            <v>AF066NTSeptiembre2026</v>
          </cell>
          <cell r="E16476" t="str">
            <v>CMQ_TTE - QUILMES TTE</v>
          </cell>
        </row>
        <row r="16477">
          <cell r="D16477" t="str">
            <v>AF066NUSeptiembre2026</v>
          </cell>
          <cell r="E16477" t="str">
            <v>CENCO_MZ - Cencosud SA - Mendoza</v>
          </cell>
        </row>
        <row r="16478">
          <cell r="D16478" t="str">
            <v>AF066NXSeptiembre2026</v>
          </cell>
          <cell r="E16478" t="str">
            <v>CMQ_TTE - QUILMES TTE</v>
          </cell>
        </row>
        <row r="16479">
          <cell r="D16479" t="str">
            <v>AF066NZSeptiembre2026</v>
          </cell>
          <cell r="E16479" t="str">
            <v>CMQ_TTE - QUILMES TTE</v>
          </cell>
        </row>
        <row r="16480">
          <cell r="D16480" t="str">
            <v>AF088EASeptiembre2026</v>
          </cell>
          <cell r="E16480" t="str">
            <v>CMQ_TTE - QUILMES TTE</v>
          </cell>
        </row>
        <row r="16481">
          <cell r="D16481" t="str">
            <v>AF088EDSeptiembre2026</v>
          </cell>
          <cell r="E16481" t="str">
            <v>CMQ_TTE - QUILMES TTE</v>
          </cell>
        </row>
        <row r="16482">
          <cell r="D16482" t="str">
            <v>AF114FNSeptiembre2026</v>
          </cell>
          <cell r="E16482" t="str">
            <v>CMQ_TTE - QUILMES TTE</v>
          </cell>
        </row>
        <row r="16483">
          <cell r="D16483" t="str">
            <v>AF114FPSeptiembre2026</v>
          </cell>
          <cell r="E16483" t="str">
            <v>CMQ_TTE - QUILMES TTE</v>
          </cell>
        </row>
        <row r="16484">
          <cell r="D16484" t="str">
            <v>AF114FZSeptiembre2026</v>
          </cell>
          <cell r="E16484" t="str">
            <v>ADA_CH - Danone Arg. S.A. - Chascomus</v>
          </cell>
        </row>
        <row r="16485">
          <cell r="D16485" t="str">
            <v>AF118QASeptiembre2026</v>
          </cell>
          <cell r="E16485" t="str">
            <v>CENCOMLD - Cencosud SA - Mendoza</v>
          </cell>
        </row>
        <row r="16486">
          <cell r="D16486" t="str">
            <v>AF118QBSeptiembre2026</v>
          </cell>
          <cell r="E16486" t="str">
            <v>ADA_CH - Danone Arg. S.A. - Chascomus</v>
          </cell>
        </row>
        <row r="16487">
          <cell r="D16487" t="str">
            <v>AF118QCSeptiembre2026</v>
          </cell>
          <cell r="E16487" t="str">
            <v>CENCOMLD - Cencosud SA - Mendoza</v>
          </cell>
        </row>
        <row r="16488">
          <cell r="D16488" t="str">
            <v>AF148MESeptiembre2026</v>
          </cell>
          <cell r="E16488" t="str">
            <v>CMQ_TTE - QUILMES TTE</v>
          </cell>
        </row>
        <row r="16489">
          <cell r="D16489" t="str">
            <v>AF148MSSeptiembre2026</v>
          </cell>
          <cell r="E16489" t="str">
            <v>CENCOMLD - Cencosud SA - Mendoza</v>
          </cell>
        </row>
        <row r="16490">
          <cell r="D16490" t="str">
            <v>AF156NJSeptiembre2026</v>
          </cell>
          <cell r="E16490" t="str">
            <v>SUC_SLU - Sucursal San Luis</v>
          </cell>
        </row>
        <row r="16491">
          <cell r="D16491" t="str">
            <v>AF156NKSeptiembre2026</v>
          </cell>
          <cell r="E16491" t="str">
            <v>SUC_ROS - Sucursal Rosario</v>
          </cell>
        </row>
        <row r="16492">
          <cell r="D16492" t="str">
            <v>AF156NLSeptiembre2026</v>
          </cell>
          <cell r="E16492" t="str">
            <v>SUC_SRA - Sucursal San Rafael</v>
          </cell>
        </row>
        <row r="16493">
          <cell r="D16493" t="str">
            <v>AF156NMSeptiembre2026</v>
          </cell>
          <cell r="E16493" t="str">
            <v>SUC_MEN - Sucursal Mendoza</v>
          </cell>
        </row>
        <row r="16494">
          <cell r="D16494" t="str">
            <v>AF239QZSeptiembre2026</v>
          </cell>
          <cell r="E16494" t="str">
            <v>BAJA</v>
          </cell>
        </row>
        <row r="16495">
          <cell r="D16495" t="str">
            <v>AF247UTSeptiembre2026</v>
          </cell>
          <cell r="E16495" t="str">
            <v>Expreso - Servicios Troncales</v>
          </cell>
        </row>
        <row r="16496">
          <cell r="D16496" t="str">
            <v>AF247UUSeptiembre2026</v>
          </cell>
          <cell r="E16496" t="str">
            <v>Expreso - Servicios Troncales</v>
          </cell>
        </row>
        <row r="16497">
          <cell r="D16497" t="str">
            <v>AF338VOSeptiembre2026</v>
          </cell>
          <cell r="E16497" t="str">
            <v>CMQ_TTE - QUILMES TTE</v>
          </cell>
        </row>
        <row r="16498">
          <cell r="D16498" t="str">
            <v>AF338VPSeptiembre2026</v>
          </cell>
          <cell r="E16498" t="str">
            <v>BAJA</v>
          </cell>
        </row>
        <row r="16499">
          <cell r="D16499" t="str">
            <v>AF338VQSeptiembre2026</v>
          </cell>
          <cell r="E16499" t="str">
            <v>CMQ_TTE - QUILMES TTE</v>
          </cell>
        </row>
        <row r="16500">
          <cell r="D16500" t="str">
            <v>AF364MNSeptiembre2026</v>
          </cell>
          <cell r="E16500" t="str">
            <v>CMQ_TTE - QUILMES TTE</v>
          </cell>
        </row>
        <row r="16501">
          <cell r="D16501" t="str">
            <v>AF370DZSeptiembre2026</v>
          </cell>
          <cell r="E16501" t="str">
            <v>BAJA</v>
          </cell>
        </row>
        <row r="16502">
          <cell r="D16502" t="str">
            <v>AF371BESeptiembre2026</v>
          </cell>
          <cell r="E16502" t="str">
            <v>ADA_CH - Danone Arg. S.A. - Chascomus</v>
          </cell>
        </row>
        <row r="16503">
          <cell r="D16503" t="str">
            <v>AF371BFSeptiembre2026</v>
          </cell>
          <cell r="E16503" t="str">
            <v>CENCOMLD - Cencosud SA - Mendoza</v>
          </cell>
        </row>
        <row r="16504">
          <cell r="D16504" t="str">
            <v>AF371BGSeptiembre2026</v>
          </cell>
          <cell r="E16504" t="str">
            <v>ADA_CH - Danone Arg. S.A. - Chascomus</v>
          </cell>
        </row>
        <row r="16505">
          <cell r="D16505" t="str">
            <v>AF371BHSeptiembre2026</v>
          </cell>
          <cell r="E16505" t="str">
            <v>ADA_CH - Danone Arg. S.A. - Chascomus</v>
          </cell>
        </row>
        <row r="16506">
          <cell r="D16506" t="str">
            <v>AF444TUSeptiembre2026</v>
          </cell>
          <cell r="E16506" t="str">
            <v>CMQ_TTE - QUILMES TTE</v>
          </cell>
        </row>
        <row r="16507">
          <cell r="D16507" t="str">
            <v>AF444TVSeptiembre2026</v>
          </cell>
          <cell r="E16507" t="str">
            <v>CMQ_TTE - QUILMES TTE</v>
          </cell>
        </row>
        <row r="16508">
          <cell r="D16508" t="str">
            <v>AF444TWSeptiembre2026</v>
          </cell>
          <cell r="E16508" t="str">
            <v>CMQ_TTE - QUILMES TTE</v>
          </cell>
        </row>
        <row r="16509">
          <cell r="D16509" t="str">
            <v>AF444TXSeptiembre2026</v>
          </cell>
          <cell r="E16509" t="str">
            <v>CMQ_TTE - QUILMES TTE</v>
          </cell>
        </row>
        <row r="16510">
          <cell r="D16510" t="str">
            <v>AF461DASeptiembre2026</v>
          </cell>
          <cell r="E16510" t="str">
            <v>ADA_CH - Danone Arg. S.A. - Chascomus</v>
          </cell>
        </row>
        <row r="16511">
          <cell r="D16511" t="str">
            <v>AF461DBSeptiembre2026</v>
          </cell>
          <cell r="E16511" t="str">
            <v>ADA_CH - Danone Arg. S.A. - Chascomus</v>
          </cell>
        </row>
        <row r="16512">
          <cell r="D16512" t="str">
            <v>AF461DCSeptiembre2026</v>
          </cell>
          <cell r="E16512" t="str">
            <v>ADA_CH - Danone Arg. S.A. - Chascomus</v>
          </cell>
        </row>
        <row r="16513">
          <cell r="D16513" t="str">
            <v>AF461DQSeptiembre2026</v>
          </cell>
          <cell r="E16513" t="str">
            <v>SUC_MEN - Sucursal Mendoza</v>
          </cell>
        </row>
        <row r="16514">
          <cell r="D16514" t="str">
            <v>AF461DVSeptiembre2026</v>
          </cell>
          <cell r="E16514" t="str">
            <v>Unilever - Unilever de Arg. S.A.</v>
          </cell>
        </row>
        <row r="16515">
          <cell r="D16515" t="str">
            <v>AF491HLSeptiembre2026</v>
          </cell>
          <cell r="E16515" t="str">
            <v>SUC_CTC - Sucursal Buenos Aires</v>
          </cell>
        </row>
        <row r="16516">
          <cell r="D16516" t="str">
            <v>AF491HMSeptiembre2026</v>
          </cell>
          <cell r="E16516" t="str">
            <v>CIMSA_CI</v>
          </cell>
        </row>
        <row r="16517">
          <cell r="D16517" t="str">
            <v>AF504DRSeptiembre2026</v>
          </cell>
          <cell r="E16517" t="str">
            <v>CMQ_TTE - QUILMES TTE</v>
          </cell>
        </row>
        <row r="16518">
          <cell r="D16518" t="str">
            <v>AF518DMSeptiembre2026</v>
          </cell>
          <cell r="E16518" t="str">
            <v>CMQ_TTE - QUILMES TTE</v>
          </cell>
        </row>
        <row r="16519">
          <cell r="D16519" t="str">
            <v>AF542LXSeptiembre2026</v>
          </cell>
          <cell r="E16519" t="str">
            <v>CIMSA_SRA</v>
          </cell>
        </row>
        <row r="16520">
          <cell r="D16520" t="str">
            <v>AF613YXSeptiembre2026</v>
          </cell>
          <cell r="E16520" t="str">
            <v>CMQ_TTE - QUILMES TTE</v>
          </cell>
        </row>
        <row r="16521">
          <cell r="D16521" t="str">
            <v>AF613YZSeptiembre2026</v>
          </cell>
          <cell r="E16521" t="str">
            <v>CMQ_TTE - QUILMES TTE</v>
          </cell>
        </row>
        <row r="16522">
          <cell r="D16522" t="str">
            <v>AF619YOSeptiembre2026</v>
          </cell>
          <cell r="E16522" t="str">
            <v>SUC_MEN - Sucursal Mendoza</v>
          </cell>
        </row>
        <row r="16523">
          <cell r="D16523" t="str">
            <v>AF619YPSeptiembre2026</v>
          </cell>
          <cell r="E16523" t="str">
            <v>CMQ_TTE - QUILMES TTE</v>
          </cell>
        </row>
        <row r="16524">
          <cell r="D16524" t="str">
            <v>AF639HASeptiembre2026</v>
          </cell>
          <cell r="E16524" t="str">
            <v>CMQ_TTE - QUILMES TTE</v>
          </cell>
        </row>
        <row r="16525">
          <cell r="D16525" t="str">
            <v>AF639HBSeptiembre2026</v>
          </cell>
          <cell r="E16525" t="str">
            <v>CMQ_TTE - QUILMES TTE</v>
          </cell>
        </row>
        <row r="16526">
          <cell r="D16526" t="str">
            <v>AF642OSSeptiembre2026</v>
          </cell>
          <cell r="E16526" t="str">
            <v>CCUDyAZA</v>
          </cell>
        </row>
        <row r="16527">
          <cell r="D16527" t="str">
            <v>AF642OTSeptiembre2026</v>
          </cell>
          <cell r="E16527" t="str">
            <v>CMQ_TTE - QUILMES TTE</v>
          </cell>
        </row>
        <row r="16528">
          <cell r="D16528" t="str">
            <v>AF642OUSeptiembre2026</v>
          </cell>
          <cell r="E16528" t="str">
            <v>CCUDyAZA</v>
          </cell>
        </row>
        <row r="16529">
          <cell r="D16529" t="str">
            <v>AF653AASeptiembre2026</v>
          </cell>
          <cell r="E16529" t="str">
            <v>CMQ_TTE - QUILMES TTE</v>
          </cell>
        </row>
        <row r="16530">
          <cell r="D16530" t="str">
            <v>AF653ABSeptiembre2026</v>
          </cell>
          <cell r="E16530" t="str">
            <v>CMQ_TTE - QUILMES TTE</v>
          </cell>
        </row>
        <row r="16531">
          <cell r="D16531" t="str">
            <v>AF672EUSeptiembre2026</v>
          </cell>
          <cell r="E16531" t="str">
            <v>Arcor S.A.I.C.</v>
          </cell>
        </row>
        <row r="16532">
          <cell r="D16532" t="str">
            <v>AF722DMSeptiembre2026</v>
          </cell>
          <cell r="E16532" t="str">
            <v>CMQ_TTE - QUILMES TTE</v>
          </cell>
        </row>
        <row r="16533">
          <cell r="D16533" t="str">
            <v>AF722DNSeptiembre2026</v>
          </cell>
          <cell r="E16533" t="str">
            <v>CMQ_TTE - QUILMES TTE</v>
          </cell>
        </row>
        <row r="16534">
          <cell r="D16534" t="str">
            <v>AF737MPSeptiembre2026</v>
          </cell>
          <cell r="E16534" t="str">
            <v>CMQ_TTE - QUILMES TTE</v>
          </cell>
        </row>
        <row r="16535">
          <cell r="D16535" t="str">
            <v>AF737MQSeptiembre2026</v>
          </cell>
          <cell r="E16535" t="str">
            <v>CMQ_TTE - QUILMES TTE</v>
          </cell>
        </row>
        <row r="16536">
          <cell r="D16536" t="str">
            <v>AF743LBSeptiembre2026</v>
          </cell>
          <cell r="E16536" t="str">
            <v>ADA_CH - Danone Arg. S.A. - Chascomus</v>
          </cell>
        </row>
        <row r="16537">
          <cell r="D16537" t="str">
            <v>AF746EDSeptiembre2026</v>
          </cell>
          <cell r="E16537" t="str">
            <v>CMQ_TTE - QUILMES TTE</v>
          </cell>
        </row>
        <row r="16538">
          <cell r="D16538" t="str">
            <v>AF746EMSeptiembre2026</v>
          </cell>
          <cell r="E16538" t="str">
            <v>CMQ_TTE - QUILMES TTE</v>
          </cell>
        </row>
        <row r="16539">
          <cell r="D16539" t="str">
            <v>AF746ENSeptiembre2026</v>
          </cell>
          <cell r="E16539" t="str">
            <v>CMQ_TTE - QUILMES TTE</v>
          </cell>
        </row>
        <row r="16540">
          <cell r="D16540" t="str">
            <v>AF804RASeptiembre2026</v>
          </cell>
          <cell r="E16540" t="str">
            <v>CENCO_MZ - Cencosud SA - Mendoza</v>
          </cell>
        </row>
        <row r="16541">
          <cell r="D16541" t="str">
            <v>AF804RBSeptiembre2026</v>
          </cell>
          <cell r="E16541" t="str">
            <v>CCU_MZA - Comp. Cerv. Unidas - MZA</v>
          </cell>
        </row>
        <row r="16542">
          <cell r="D16542" t="str">
            <v>AF804RCSeptiembre2026</v>
          </cell>
          <cell r="E16542" t="str">
            <v>CCU_MZA - Comp. Cerv. Unidas - MZA</v>
          </cell>
        </row>
        <row r="16543">
          <cell r="D16543" t="str">
            <v>AF804RDSeptiembre2026</v>
          </cell>
          <cell r="E16543" t="str">
            <v>Arcor S.A.I.C.</v>
          </cell>
        </row>
        <row r="16544">
          <cell r="D16544" t="str">
            <v>AF804RESeptiembre2026</v>
          </cell>
          <cell r="E16544" t="str">
            <v>CCU_MZA - Comp. Cerv. Unidas - MZA</v>
          </cell>
        </row>
        <row r="16545">
          <cell r="D16545" t="str">
            <v>AF804RFSeptiembre2026</v>
          </cell>
          <cell r="E16545" t="str">
            <v>CCU_MZA - Comp. Cerv. Unidas - MZA</v>
          </cell>
        </row>
        <row r="16546">
          <cell r="D16546" t="str">
            <v>AF831AFSeptiembre2026</v>
          </cell>
          <cell r="E16546" t="str">
            <v>CIMSA_CI</v>
          </cell>
        </row>
        <row r="16547">
          <cell r="D16547" t="str">
            <v>AF865RVSeptiembre2026</v>
          </cell>
          <cell r="E16547" t="str">
            <v>CIMSA_CI</v>
          </cell>
        </row>
        <row r="16548">
          <cell r="D16548" t="str">
            <v>AF877NCSeptiembre2026</v>
          </cell>
          <cell r="E16548" t="str">
            <v>CENCO_MZ - Cencosud SA - Mendoza</v>
          </cell>
        </row>
        <row r="16549">
          <cell r="D16549" t="str">
            <v>AF918RISeptiembre2026</v>
          </cell>
          <cell r="E16549" t="str">
            <v>CMQ_TTE - QUILMES TTE</v>
          </cell>
        </row>
        <row r="16550">
          <cell r="D16550" t="str">
            <v>AF948NASeptiembre2026</v>
          </cell>
          <cell r="E16550" t="str">
            <v>CMQ_TTE - QUILMES TTE</v>
          </cell>
        </row>
        <row r="16551">
          <cell r="D16551" t="str">
            <v>AG017HWSeptiembre2026</v>
          </cell>
          <cell r="E16551" t="str">
            <v>Arcor S.A.I.C.</v>
          </cell>
        </row>
        <row r="16552">
          <cell r="D16552" t="str">
            <v>AG043HASeptiembre2026</v>
          </cell>
          <cell r="E16552" t="str">
            <v>Arcor S.A.I.C.</v>
          </cell>
        </row>
        <row r="16553">
          <cell r="D16553" t="str">
            <v>AG054RBSeptiembre2026</v>
          </cell>
          <cell r="E16553" t="str">
            <v>Expreso - Servicios Troncales</v>
          </cell>
        </row>
        <row r="16554">
          <cell r="D16554" t="str">
            <v>AG054RDSeptiembre2026</v>
          </cell>
          <cell r="E16554" t="str">
            <v>Expreso - Servicios Troncales</v>
          </cell>
        </row>
        <row r="16555">
          <cell r="D16555" t="str">
            <v>AG054RESeptiembre2026</v>
          </cell>
          <cell r="E16555" t="str">
            <v>Expreso - Servicios Troncales</v>
          </cell>
        </row>
        <row r="16556">
          <cell r="D16556" t="str">
            <v>AG079GASeptiembre2026</v>
          </cell>
          <cell r="E16556" t="str">
            <v>CENCO_MZ - Cencosud SA - Mendoza</v>
          </cell>
        </row>
        <row r="16557">
          <cell r="D16557" t="str">
            <v>AG079GBSeptiembre2026</v>
          </cell>
          <cell r="E16557" t="str">
            <v>CMQ_TTE - QUILMES TTE</v>
          </cell>
        </row>
        <row r="16558">
          <cell r="D16558" t="str">
            <v>AG095MQSeptiembre2026</v>
          </cell>
          <cell r="E16558" t="str">
            <v>CMQ_TTE - QUILMES TTE</v>
          </cell>
        </row>
        <row r="16559">
          <cell r="D16559" t="str">
            <v>AG095MRSeptiembre2026</v>
          </cell>
          <cell r="E16559" t="str">
            <v>CMQ_TTE - QUILMES TTE</v>
          </cell>
        </row>
        <row r="16560">
          <cell r="D16560" t="str">
            <v>AG176NASeptiembre2026</v>
          </cell>
          <cell r="E16560" t="str">
            <v>CCUCoAZA</v>
          </cell>
        </row>
        <row r="16561">
          <cell r="D16561" t="str">
            <v>AG176NBSeptiembre2026</v>
          </cell>
          <cell r="E16561" t="str">
            <v>CCUCoAZA</v>
          </cell>
        </row>
        <row r="16562">
          <cell r="D16562" t="str">
            <v>AG204ZQSeptiembre2026</v>
          </cell>
          <cell r="E16562" t="str">
            <v>Arcor S.A.I.C.</v>
          </cell>
        </row>
        <row r="16563">
          <cell r="D16563" t="str">
            <v>AG204ZXSeptiembre2026</v>
          </cell>
          <cell r="E16563" t="str">
            <v>CMQ_TTE - QUILMES TTE</v>
          </cell>
        </row>
        <row r="16564">
          <cell r="D16564" t="str">
            <v>AG238NSSeptiembre2026</v>
          </cell>
          <cell r="E16564" t="str">
            <v>CENCOMLD - Cencosud SA - Mendoza</v>
          </cell>
        </row>
        <row r="16565">
          <cell r="D16565" t="str">
            <v>AG255NDSeptiembre2026</v>
          </cell>
          <cell r="E16565" t="str">
            <v>CENCOMLD - Cencosud SA - Mendoza</v>
          </cell>
        </row>
        <row r="16566">
          <cell r="D16566" t="str">
            <v>AG255NESeptiembre2026</v>
          </cell>
          <cell r="E16566" t="str">
            <v>CENCOMLD - Cencosud SA - Mendoza</v>
          </cell>
        </row>
        <row r="16567">
          <cell r="D16567" t="str">
            <v>AG255NFSeptiembre2026</v>
          </cell>
          <cell r="E16567" t="str">
            <v>Arcor S.A.I.C.</v>
          </cell>
        </row>
        <row r="16568">
          <cell r="D16568" t="str">
            <v>AG255NGSeptiembre2026</v>
          </cell>
          <cell r="E16568" t="str">
            <v>Arcor S.A.I.C.</v>
          </cell>
        </row>
        <row r="16569">
          <cell r="D16569" t="str">
            <v>AG255NHSeptiembre2026</v>
          </cell>
          <cell r="E16569" t="str">
            <v>CENCOMLD - Cencosud SA - Mendoza</v>
          </cell>
        </row>
        <row r="16570">
          <cell r="D16570" t="str">
            <v>AG269WHSeptiembre2026</v>
          </cell>
          <cell r="E16570" t="str">
            <v>CENCOMLD - Cencosud SA - Mendoza</v>
          </cell>
        </row>
        <row r="16571">
          <cell r="D16571" t="str">
            <v>AG300AQSeptiembre2026</v>
          </cell>
          <cell r="E16571" t="str">
            <v>Expreso - Servicios Troncales</v>
          </cell>
        </row>
        <row r="16572">
          <cell r="D16572" t="str">
            <v>AG300ARSeptiembre2026</v>
          </cell>
          <cell r="E16572" t="str">
            <v>Arcor S.A.I.C.</v>
          </cell>
        </row>
        <row r="16573">
          <cell r="D16573" t="str">
            <v>AG390QDSeptiembre2026</v>
          </cell>
          <cell r="E16573" t="str">
            <v>CCUDyAZA</v>
          </cell>
        </row>
        <row r="16574">
          <cell r="D16574" t="str">
            <v>AG404LUSeptiembre2026</v>
          </cell>
          <cell r="E16574" t="str">
            <v>CMQ_TTE - QUILMES TTE</v>
          </cell>
        </row>
        <row r="16575">
          <cell r="D16575" t="str">
            <v>AG404LXSeptiembre2026</v>
          </cell>
          <cell r="E16575" t="str">
            <v>CCUDyAZA</v>
          </cell>
        </row>
        <row r="16576">
          <cell r="D16576" t="str">
            <v>AG465YJSeptiembre2026</v>
          </cell>
          <cell r="E16576" t="str">
            <v>Arcor S.A.I.C.</v>
          </cell>
        </row>
        <row r="16577">
          <cell r="D16577" t="str">
            <v>ALJ327Septiembre2026</v>
          </cell>
          <cell r="E16577" t="str">
            <v>BAJA</v>
          </cell>
        </row>
        <row r="16578">
          <cell r="D16578" t="str">
            <v>APK014Septiembre2026</v>
          </cell>
          <cell r="E16578" t="str">
            <v>BAJA</v>
          </cell>
        </row>
        <row r="16579">
          <cell r="D16579" t="str">
            <v>ARK153Septiembre2026</v>
          </cell>
          <cell r="E16579" t="str">
            <v>INACTIVO</v>
          </cell>
        </row>
        <row r="16580">
          <cell r="D16580" t="str">
            <v>AUW393Septiembre2026</v>
          </cell>
          <cell r="E16580" t="str">
            <v>BAJA</v>
          </cell>
        </row>
        <row r="16581">
          <cell r="D16581" t="str">
            <v>BBJ908Septiembre2026</v>
          </cell>
          <cell r="E16581" t="str">
            <v>INACTIVO</v>
          </cell>
        </row>
        <row r="16582">
          <cell r="D16582" t="str">
            <v>BHB143Septiembre2026</v>
          </cell>
          <cell r="E16582" t="str">
            <v>BAJA</v>
          </cell>
        </row>
        <row r="16583">
          <cell r="D16583" t="str">
            <v>BJG486Septiembre2026</v>
          </cell>
          <cell r="E16583" t="str">
            <v>Sin Operación</v>
          </cell>
        </row>
        <row r="16584">
          <cell r="D16584" t="str">
            <v>BJH275Septiembre2026</v>
          </cell>
          <cell r="E16584" t="str">
            <v>BAJA</v>
          </cell>
        </row>
        <row r="16585">
          <cell r="D16585" t="str">
            <v>BNW644Septiembre2026</v>
          </cell>
          <cell r="E16585" t="str">
            <v>SUC_GAL - Sucursal General Alvear</v>
          </cell>
        </row>
        <row r="16586">
          <cell r="D16586" t="str">
            <v>BRJ211Septiembre2026</v>
          </cell>
          <cell r="E16586" t="str">
            <v>SUC_MAL - Sucursal Malargüe</v>
          </cell>
        </row>
        <row r="16587">
          <cell r="D16587" t="str">
            <v>BVH267Septiembre2026</v>
          </cell>
          <cell r="E16587" t="str">
            <v>Unilever - Unilever de Arg. S.A.</v>
          </cell>
        </row>
        <row r="16588">
          <cell r="D16588" t="str">
            <v>BXK441Septiembre2026</v>
          </cell>
          <cell r="E16588" t="str">
            <v>FLETERO EXPRESO</v>
          </cell>
        </row>
        <row r="16589">
          <cell r="D16589" t="str">
            <v>CCV203Septiembre2026</v>
          </cell>
          <cell r="E16589" t="str">
            <v>CMQ_TTE - QUILMES TTE</v>
          </cell>
        </row>
        <row r="16590">
          <cell r="D16590" t="str">
            <v>CCV874Septiembre2026</v>
          </cell>
          <cell r="E16590" t="str">
            <v>BAJA</v>
          </cell>
        </row>
        <row r="16591">
          <cell r="D16591" t="str">
            <v>CEM260Septiembre2026</v>
          </cell>
          <cell r="E16591" t="str">
            <v>BAJA</v>
          </cell>
        </row>
        <row r="16592">
          <cell r="D16592" t="str">
            <v>CVF922Septiembre2026</v>
          </cell>
          <cell r="E16592" t="str">
            <v>SUC_REA - Sucursal Realicó</v>
          </cell>
        </row>
        <row r="16593">
          <cell r="D16593" t="str">
            <v>CVF923Septiembre2026</v>
          </cell>
          <cell r="E16593" t="str">
            <v>JOHNSON - SC JOHNSON DE ARGENTINA SAIC</v>
          </cell>
        </row>
        <row r="16594">
          <cell r="D16594" t="str">
            <v>DCC976Septiembre2026</v>
          </cell>
          <cell r="E16594" t="str">
            <v>AGN_TTE - AGUANORT - Transporte</v>
          </cell>
        </row>
        <row r="16595">
          <cell r="D16595" t="str">
            <v>DLW395Septiembre2026</v>
          </cell>
          <cell r="E16595" t="str">
            <v>Topacio</v>
          </cell>
        </row>
        <row r="16596">
          <cell r="D16596" t="str">
            <v>DTU738Septiembre2026</v>
          </cell>
          <cell r="E16596" t="str">
            <v>CIMSA_CI</v>
          </cell>
        </row>
        <row r="16597">
          <cell r="D16597" t="str">
            <v>EDC509Septiembre2026</v>
          </cell>
          <cell r="E16597" t="str">
            <v>AGN_TTE - AGUANORT - Transporte</v>
          </cell>
        </row>
        <row r="16598">
          <cell r="D16598" t="str">
            <v>EGW558Septiembre2026</v>
          </cell>
          <cell r="E16598" t="str">
            <v>INACTIVO</v>
          </cell>
        </row>
        <row r="16599">
          <cell r="D16599" t="str">
            <v>ENA706Septiembre2026</v>
          </cell>
          <cell r="E16599" t="str">
            <v>INACTIVO</v>
          </cell>
        </row>
        <row r="16600">
          <cell r="D16600" t="str">
            <v>ENA708Septiembre2026</v>
          </cell>
          <cell r="E16600" t="str">
            <v>INACTIVO</v>
          </cell>
        </row>
        <row r="16601">
          <cell r="D16601" t="str">
            <v>EPU120Septiembre2026</v>
          </cell>
          <cell r="E16601" t="str">
            <v>BAJA</v>
          </cell>
        </row>
        <row r="16602">
          <cell r="D16602" t="str">
            <v>ESI300Septiembre2026</v>
          </cell>
          <cell r="E16602" t="str">
            <v>BAJA</v>
          </cell>
        </row>
        <row r="16603">
          <cell r="D16603" t="str">
            <v>FCC940Septiembre2026</v>
          </cell>
          <cell r="E16603" t="str">
            <v>INACTIVO</v>
          </cell>
        </row>
        <row r="16604">
          <cell r="D16604" t="str">
            <v>FCD324Septiembre2026</v>
          </cell>
          <cell r="E16604" t="str">
            <v>Sin Operación</v>
          </cell>
        </row>
        <row r="16605">
          <cell r="D16605" t="str">
            <v>FEQ601Septiembre2026</v>
          </cell>
          <cell r="E16605" t="str">
            <v>Sin Operación</v>
          </cell>
        </row>
        <row r="16606">
          <cell r="D16606" t="str">
            <v>FEQ602Septiembre2026</v>
          </cell>
          <cell r="E16606" t="str">
            <v>Sin Operación</v>
          </cell>
        </row>
        <row r="16607">
          <cell r="D16607" t="str">
            <v>FFJ868Septiembre2026</v>
          </cell>
          <cell r="E16607" t="str">
            <v>SUC_MEN - Sucursal Mendoza</v>
          </cell>
        </row>
        <row r="16608">
          <cell r="D16608" t="str">
            <v>FFO440Septiembre2026</v>
          </cell>
          <cell r="E16608" t="str">
            <v>Sin Operación</v>
          </cell>
        </row>
        <row r="16609">
          <cell r="D16609" t="str">
            <v>FFV165Septiembre2026</v>
          </cell>
          <cell r="E16609" t="str">
            <v>Sin Operación</v>
          </cell>
        </row>
        <row r="16610">
          <cell r="D16610" t="str">
            <v>FFV166Septiembre2026</v>
          </cell>
          <cell r="E16610" t="str">
            <v>Sin Operación</v>
          </cell>
        </row>
        <row r="16611">
          <cell r="D16611" t="str">
            <v>FGG476Septiembre2026</v>
          </cell>
          <cell r="E16611" t="str">
            <v>BAJA</v>
          </cell>
        </row>
        <row r="16612">
          <cell r="D16612" t="str">
            <v>FGV321Septiembre2026</v>
          </cell>
          <cell r="E16612" t="str">
            <v>CCUCoAZA</v>
          </cell>
        </row>
        <row r="16613">
          <cell r="D16613" t="str">
            <v>FHJ542Septiembre2026</v>
          </cell>
          <cell r="E16613" t="str">
            <v>BAJA</v>
          </cell>
        </row>
        <row r="16614">
          <cell r="D16614" t="str">
            <v>FHK364Septiembre2026</v>
          </cell>
          <cell r="E16614" t="str">
            <v>Sin Operación</v>
          </cell>
        </row>
        <row r="16615">
          <cell r="D16615" t="str">
            <v>FJT707Septiembre2026</v>
          </cell>
          <cell r="E16615" t="str">
            <v>SUC_MEN - Sucursal Mendoza</v>
          </cell>
        </row>
        <row r="16616">
          <cell r="D16616" t="str">
            <v>FNY245Septiembre2026</v>
          </cell>
          <cell r="E16616" t="str">
            <v>BAJA</v>
          </cell>
        </row>
        <row r="16617">
          <cell r="D16617" t="str">
            <v>FQT892Septiembre2026</v>
          </cell>
          <cell r="E16617" t="str">
            <v>BAJA</v>
          </cell>
        </row>
        <row r="16618">
          <cell r="D16618" t="str">
            <v>FQT893Septiembre2026</v>
          </cell>
          <cell r="E16618" t="str">
            <v>Sin Operación</v>
          </cell>
        </row>
        <row r="16619">
          <cell r="D16619" t="str">
            <v>FQT894Septiembre2026</v>
          </cell>
          <cell r="E16619" t="str">
            <v>SUC_SRA - Sucursal San Rafael</v>
          </cell>
        </row>
        <row r="16620">
          <cell r="D16620" t="str">
            <v>FVH034Septiembre2026</v>
          </cell>
          <cell r="E16620" t="str">
            <v>SUC_SRA - Sucursal San Rafael</v>
          </cell>
        </row>
        <row r="16621">
          <cell r="D16621" t="str">
            <v>FVK506Septiembre2026</v>
          </cell>
          <cell r="E16621" t="str">
            <v>Sin Operación</v>
          </cell>
        </row>
        <row r="16622">
          <cell r="D16622" t="str">
            <v>FVO107Septiembre2026</v>
          </cell>
          <cell r="E16622" t="str">
            <v>Sin Operación</v>
          </cell>
        </row>
        <row r="16623">
          <cell r="D16623" t="str">
            <v>FVO108Septiembre2026</v>
          </cell>
          <cell r="E16623" t="str">
            <v>Sin Operación</v>
          </cell>
        </row>
        <row r="16624">
          <cell r="D16624" t="str">
            <v>FZK806Septiembre2026</v>
          </cell>
          <cell r="E16624" t="str">
            <v>CMQ_TTE - QUILMES TTE</v>
          </cell>
        </row>
        <row r="16625">
          <cell r="D16625" t="str">
            <v>FZK807Septiembre2026</v>
          </cell>
          <cell r="E16625" t="str">
            <v>CMQ_TTE - QUILMES TTE</v>
          </cell>
        </row>
        <row r="16626">
          <cell r="D16626" t="str">
            <v>GBC607Septiembre2026</v>
          </cell>
          <cell r="E16626" t="str">
            <v>CMQ_TTE - QUILMES TTE</v>
          </cell>
        </row>
        <row r="16627">
          <cell r="D16627" t="str">
            <v>GDR525Septiembre2026</v>
          </cell>
          <cell r="E16627" t="str">
            <v>Arcor S.A.I.C.</v>
          </cell>
        </row>
        <row r="16628">
          <cell r="D16628" t="str">
            <v>GDR526Septiembre2026</v>
          </cell>
          <cell r="E16628" t="str">
            <v>Molca</v>
          </cell>
        </row>
        <row r="16629">
          <cell r="D16629" t="str">
            <v>GDR527Septiembre2026</v>
          </cell>
          <cell r="E16629" t="str">
            <v>CMQ_TTE - QUILMES TTE</v>
          </cell>
        </row>
        <row r="16630">
          <cell r="D16630" t="str">
            <v>GEB768Septiembre2026</v>
          </cell>
          <cell r="E16630" t="str">
            <v>CMQ_TTE - QUILMES TTE</v>
          </cell>
        </row>
        <row r="16631">
          <cell r="D16631" t="str">
            <v>GEB769Septiembre2026</v>
          </cell>
          <cell r="E16631" t="str">
            <v>Sin Operación</v>
          </cell>
        </row>
        <row r="16632">
          <cell r="D16632" t="str">
            <v>GES583Septiembre2026</v>
          </cell>
          <cell r="E16632" t="str">
            <v>AGN_TTE - AGUANORT - Transporte</v>
          </cell>
        </row>
        <row r="16633">
          <cell r="D16633" t="str">
            <v>GFV163Septiembre2026</v>
          </cell>
          <cell r="E16633" t="str">
            <v>CMQ_TTE - QUILMES TTE</v>
          </cell>
        </row>
        <row r="16634">
          <cell r="D16634" t="str">
            <v>GFZ650Septiembre2026</v>
          </cell>
          <cell r="E16634" t="str">
            <v>CENCO_MZ - Cencosud SA - Mendoza</v>
          </cell>
        </row>
        <row r="16635">
          <cell r="D16635" t="str">
            <v>GFZ651Septiembre2026</v>
          </cell>
          <cell r="E16635" t="str">
            <v>SUC_CTC - Sucursal Buenos Aires</v>
          </cell>
        </row>
        <row r="16636">
          <cell r="D16636" t="str">
            <v>GGN909Septiembre2026</v>
          </cell>
          <cell r="E16636" t="str">
            <v>BAJA</v>
          </cell>
        </row>
        <row r="16637">
          <cell r="D16637" t="str">
            <v>GJC631Septiembre2026</v>
          </cell>
          <cell r="E16637" t="str">
            <v>CCUCoAZA</v>
          </cell>
        </row>
        <row r="16638">
          <cell r="D16638" t="str">
            <v>GJC632Septiembre2026</v>
          </cell>
          <cell r="E16638" t="str">
            <v>Papelera - Papelera del Plata S.A.</v>
          </cell>
        </row>
        <row r="16639">
          <cell r="D16639" t="str">
            <v>GJQ542Septiembre2026</v>
          </cell>
          <cell r="E16639" t="str">
            <v>AGN_TTE - AGUANORT - Transporte</v>
          </cell>
        </row>
        <row r="16640">
          <cell r="D16640" t="str">
            <v>GJQ543Septiembre2026</v>
          </cell>
          <cell r="E16640" t="str">
            <v>AGN_TTE - AGUANORT - Transporte</v>
          </cell>
        </row>
        <row r="16641">
          <cell r="D16641" t="str">
            <v>GJQ699Septiembre2026</v>
          </cell>
          <cell r="E16641" t="str">
            <v>SUC_ROS - Sucursal Rosario</v>
          </cell>
        </row>
        <row r="16642">
          <cell r="D16642" t="str">
            <v>GKK500Septiembre2026</v>
          </cell>
          <cell r="E16642" t="str">
            <v>SUC_MEN - Sucursal Mendoza</v>
          </cell>
        </row>
        <row r="16643">
          <cell r="D16643" t="str">
            <v>GLT550Septiembre2026</v>
          </cell>
          <cell r="E16643" t="str">
            <v>Expreso - Servicios Troncales</v>
          </cell>
        </row>
        <row r="16644">
          <cell r="D16644" t="str">
            <v>GLT551Septiembre2026</v>
          </cell>
          <cell r="E16644" t="str">
            <v>Sin Operación</v>
          </cell>
        </row>
        <row r="16645">
          <cell r="D16645" t="str">
            <v>GLT552Septiembre2026</v>
          </cell>
          <cell r="E16645" t="str">
            <v>Molca</v>
          </cell>
        </row>
        <row r="16646">
          <cell r="D16646" t="str">
            <v>GMJ024Septiembre2026</v>
          </cell>
          <cell r="E16646" t="str">
            <v>Unilever - Unilever de Arg. S.A.</v>
          </cell>
        </row>
        <row r="16647">
          <cell r="D16647" t="str">
            <v>GMJ025Septiembre2026</v>
          </cell>
          <cell r="E16647" t="str">
            <v>CENCO_MZ - Cencosud SA - Mendoza</v>
          </cell>
        </row>
        <row r="16648">
          <cell r="D16648" t="str">
            <v>GNY197Septiembre2026</v>
          </cell>
          <cell r="E16648" t="str">
            <v>Papelera - Papelera del Plata S.A.</v>
          </cell>
        </row>
        <row r="16649">
          <cell r="D16649" t="str">
            <v>GNY198Septiembre2026</v>
          </cell>
          <cell r="E16649" t="str">
            <v>CCUCoAZA</v>
          </cell>
        </row>
        <row r="16650">
          <cell r="D16650" t="str">
            <v>GNY199Septiembre2026</v>
          </cell>
          <cell r="E16650" t="str">
            <v>BAJA</v>
          </cell>
        </row>
        <row r="16651">
          <cell r="D16651" t="str">
            <v>GOR390Septiembre2026</v>
          </cell>
          <cell r="E16651" t="str">
            <v>Molca</v>
          </cell>
        </row>
        <row r="16652">
          <cell r="D16652" t="str">
            <v>GOR397Septiembre2026</v>
          </cell>
          <cell r="E16652" t="str">
            <v>SUC_SLU - Sucursal San Luis</v>
          </cell>
        </row>
        <row r="16653">
          <cell r="D16653" t="str">
            <v>GOX956Septiembre2026</v>
          </cell>
          <cell r="E16653" t="str">
            <v>JOHNSON - SC JOHNSON DE ARGENTINA SAIC</v>
          </cell>
        </row>
        <row r="16654">
          <cell r="D16654" t="str">
            <v>GOX957Septiembre2026</v>
          </cell>
          <cell r="E16654" t="str">
            <v>Papelera - Papelera del Plata S.A - Zarate.</v>
          </cell>
        </row>
        <row r="16655">
          <cell r="D16655" t="str">
            <v>GOX958Septiembre2026</v>
          </cell>
          <cell r="E16655" t="str">
            <v>Papelera - Papelera del Plata S.A - Zarate.</v>
          </cell>
        </row>
        <row r="16656">
          <cell r="D16656" t="str">
            <v>GOX959Septiembre2026</v>
          </cell>
          <cell r="E16656" t="str">
            <v>CCUCoAZA</v>
          </cell>
        </row>
        <row r="16657">
          <cell r="D16657" t="str">
            <v>GPE838Septiembre2026</v>
          </cell>
          <cell r="E16657" t="str">
            <v>BAJA</v>
          </cell>
        </row>
        <row r="16658">
          <cell r="D16658" t="str">
            <v>GPL520Septiembre2026</v>
          </cell>
          <cell r="E16658" t="str">
            <v>SUC_REA - Sucursal Realicó</v>
          </cell>
        </row>
        <row r="16659">
          <cell r="D16659" t="str">
            <v>GQN688Septiembre2026</v>
          </cell>
          <cell r="E16659" t="str">
            <v>Expreso - Servicios Troncales</v>
          </cell>
        </row>
        <row r="16660">
          <cell r="D16660" t="str">
            <v>GRC311Septiembre2026</v>
          </cell>
          <cell r="E16660" t="str">
            <v>CCUCoAZA</v>
          </cell>
        </row>
        <row r="16661">
          <cell r="D16661" t="str">
            <v>GRE072Septiembre2026</v>
          </cell>
          <cell r="E16661" t="str">
            <v>CCUCoAZA</v>
          </cell>
        </row>
        <row r="16662">
          <cell r="D16662" t="str">
            <v>GRE073Septiembre2026</v>
          </cell>
          <cell r="E16662" t="str">
            <v>SUC_MEN - Sucursal Mendoza</v>
          </cell>
        </row>
        <row r="16663">
          <cell r="D16663" t="str">
            <v>GTE287Septiembre2026</v>
          </cell>
          <cell r="E16663" t="str">
            <v>Papelera - Papelera del Plata S.A.</v>
          </cell>
        </row>
        <row r="16664">
          <cell r="D16664" t="str">
            <v>GTE288Septiembre2026</v>
          </cell>
          <cell r="E16664" t="str">
            <v>JOHNSON - SC JOHNSON DE ARGENTINA SAIC</v>
          </cell>
        </row>
        <row r="16665">
          <cell r="D16665" t="str">
            <v>GTE289Septiembre2026</v>
          </cell>
          <cell r="E16665" t="str">
            <v>Papelera - Papelera del Plata S.A.</v>
          </cell>
        </row>
        <row r="16666">
          <cell r="D16666" t="str">
            <v>GUW657Septiembre2026</v>
          </cell>
          <cell r="E16666" t="str">
            <v>CENCO_SJ - Cencosud SA - San Juan</v>
          </cell>
        </row>
        <row r="16667">
          <cell r="D16667" t="str">
            <v>GUW658Septiembre2026</v>
          </cell>
          <cell r="E16667" t="str">
            <v>Unilever - Unilever de Arg. S.A.</v>
          </cell>
        </row>
        <row r="16668">
          <cell r="D16668" t="str">
            <v>GVU096Septiembre2026</v>
          </cell>
          <cell r="E16668" t="str">
            <v>SUC_SRA - Sucursal San Rafael</v>
          </cell>
        </row>
        <row r="16669">
          <cell r="D16669" t="str">
            <v>GVU097Septiembre2026</v>
          </cell>
          <cell r="E16669" t="str">
            <v>Papelera - Papelera del Plata S.A - Zarate.</v>
          </cell>
        </row>
        <row r="16670">
          <cell r="D16670" t="str">
            <v>GYB034Septiembre2026</v>
          </cell>
          <cell r="E16670" t="str">
            <v>SUC_MEN - Sucursal Mendoza</v>
          </cell>
        </row>
        <row r="16671">
          <cell r="D16671" t="str">
            <v>GYO749Septiembre2026</v>
          </cell>
          <cell r="E16671" t="str">
            <v>SUC_MEN - Sucursal Mendoza</v>
          </cell>
        </row>
        <row r="16672">
          <cell r="D16672" t="str">
            <v>HBD129Septiembre2026</v>
          </cell>
          <cell r="E16672" t="str">
            <v>BAJA</v>
          </cell>
        </row>
        <row r="16673">
          <cell r="D16673" t="str">
            <v>HEU640Septiembre2026</v>
          </cell>
          <cell r="E16673" t="str">
            <v>CENCO_MZ - Cencosud SA - Mendoza</v>
          </cell>
        </row>
        <row r="16674">
          <cell r="D16674" t="str">
            <v>HHJ239Septiembre2026</v>
          </cell>
          <cell r="E16674" t="str">
            <v>CMQ_TTE - QUILMES TTE</v>
          </cell>
        </row>
        <row r="16675">
          <cell r="D16675" t="str">
            <v>HIW856Septiembre2026</v>
          </cell>
          <cell r="E16675" t="str">
            <v>Sin Operación</v>
          </cell>
        </row>
        <row r="16676">
          <cell r="D16676" t="str">
            <v>HKR104Septiembre2026</v>
          </cell>
          <cell r="E16676" t="str">
            <v>AGN_TTE - AGUANORT - Transporte</v>
          </cell>
        </row>
        <row r="16677">
          <cell r="D16677" t="str">
            <v>HKW894Septiembre2026</v>
          </cell>
          <cell r="E16677" t="str">
            <v>Papelera - Papelera del Plata S.A - Zarate.</v>
          </cell>
        </row>
        <row r="16678">
          <cell r="D16678" t="str">
            <v>HNE430Septiembre2026</v>
          </cell>
          <cell r="E16678" t="str">
            <v>CCUCoAZA</v>
          </cell>
        </row>
        <row r="16679">
          <cell r="D16679" t="str">
            <v>HNL373Septiembre2026</v>
          </cell>
          <cell r="E16679" t="str">
            <v>Alfavinil SA</v>
          </cell>
        </row>
        <row r="16680">
          <cell r="D16680" t="str">
            <v>HPR687Septiembre2026</v>
          </cell>
          <cell r="E16680" t="str">
            <v>Topacio</v>
          </cell>
        </row>
        <row r="16681">
          <cell r="D16681" t="str">
            <v>HQM968Septiembre2026</v>
          </cell>
          <cell r="E16681" t="str">
            <v>CCUCoAZA</v>
          </cell>
        </row>
        <row r="16682">
          <cell r="D16682" t="str">
            <v>HRJ002Septiembre2026</v>
          </cell>
          <cell r="E16682" t="str">
            <v>SUC_REA - Sucursal Realicó</v>
          </cell>
        </row>
        <row r="16683">
          <cell r="D16683" t="str">
            <v>HRJ003Septiembre2026</v>
          </cell>
          <cell r="E16683" t="str">
            <v>CENCO_MZ - Cencosud SA - Mendoza</v>
          </cell>
        </row>
        <row r="16684">
          <cell r="D16684" t="str">
            <v>HRJ004Septiembre2026</v>
          </cell>
          <cell r="E16684" t="str">
            <v>CENCO_MZ - Cencosud SA - Mendoza</v>
          </cell>
        </row>
        <row r="16685">
          <cell r="D16685" t="str">
            <v>HSC655Septiembre2026</v>
          </cell>
          <cell r="E16685" t="str">
            <v>CENCO_MZ - Cencosud SA - Mendoza</v>
          </cell>
        </row>
        <row r="16686">
          <cell r="D16686" t="str">
            <v>HUY047Septiembre2026</v>
          </cell>
          <cell r="E16686" t="str">
            <v>Unilever - Unilever de Arg. S.A.</v>
          </cell>
        </row>
        <row r="16687">
          <cell r="D16687" t="str">
            <v>HXL135Septiembre2026</v>
          </cell>
          <cell r="E16687" t="str">
            <v>AGN_TTE - AGUANORT - Transporte</v>
          </cell>
        </row>
        <row r="16688">
          <cell r="D16688" t="str">
            <v>IBB073Septiembre2026</v>
          </cell>
          <cell r="E16688" t="str">
            <v>Expreso - Servicios Troncales</v>
          </cell>
        </row>
        <row r="16689">
          <cell r="D16689" t="str">
            <v>IBB074Septiembre2026</v>
          </cell>
          <cell r="E16689" t="str">
            <v>Expreso - Servicios Troncales</v>
          </cell>
        </row>
        <row r="16690">
          <cell r="D16690" t="str">
            <v>IBB075Septiembre2026</v>
          </cell>
          <cell r="E16690" t="str">
            <v>Expreso - Servicios Troncales</v>
          </cell>
        </row>
        <row r="16691">
          <cell r="D16691" t="str">
            <v>IBB076Septiembre2026</v>
          </cell>
          <cell r="E16691" t="str">
            <v>ADA_CH - Danone Arg. S.A. - Chascomus</v>
          </cell>
        </row>
        <row r="16692">
          <cell r="D16692" t="str">
            <v>IDJ796Septiembre2026</v>
          </cell>
          <cell r="E16692" t="str">
            <v>Expreso - Servicios Troncales</v>
          </cell>
        </row>
        <row r="16693">
          <cell r="D16693" t="str">
            <v>IDJ797Septiembre2026</v>
          </cell>
          <cell r="E16693" t="str">
            <v>Expreso - Servicios Troncales</v>
          </cell>
        </row>
        <row r="16694">
          <cell r="D16694" t="str">
            <v>IDX163Septiembre2026</v>
          </cell>
          <cell r="E16694" t="str">
            <v>JOHNSON - SC JOHNSON DE ARGENTINA SAIC</v>
          </cell>
        </row>
        <row r="16695">
          <cell r="D16695" t="str">
            <v>IDX164Septiembre2026</v>
          </cell>
          <cell r="E16695" t="str">
            <v>Expreso - Servicios Troncales</v>
          </cell>
        </row>
        <row r="16696">
          <cell r="D16696" t="str">
            <v>IDX165Septiembre2026</v>
          </cell>
          <cell r="E16696" t="str">
            <v>Unilever - Unilever de Arg. S.A.</v>
          </cell>
        </row>
        <row r="16697">
          <cell r="D16697" t="str">
            <v>IHC498Septiembre2026</v>
          </cell>
          <cell r="E16697" t="str">
            <v>AGN_TTE - AGUANORT - Transporte</v>
          </cell>
        </row>
        <row r="16698">
          <cell r="D16698" t="str">
            <v>IRC117Septiembre2026</v>
          </cell>
          <cell r="E16698" t="str">
            <v>SUC_CTC - Sucursal Buenos Aires</v>
          </cell>
        </row>
        <row r="16699">
          <cell r="D16699" t="str">
            <v>IVC008Septiembre2026</v>
          </cell>
          <cell r="E16699" t="str">
            <v>CMQ_TTE - QUILMES TTE</v>
          </cell>
        </row>
        <row r="16700">
          <cell r="D16700" t="str">
            <v>IVD940Septiembre2026</v>
          </cell>
          <cell r="E16700" t="str">
            <v>CCUCoAZA</v>
          </cell>
        </row>
        <row r="16701">
          <cell r="D16701" t="str">
            <v>IVD941Septiembre2026</v>
          </cell>
          <cell r="E16701" t="str">
            <v>Sin Operación</v>
          </cell>
        </row>
        <row r="16702">
          <cell r="D16702" t="str">
            <v>IZD113Septiembre2026</v>
          </cell>
          <cell r="E16702" t="str">
            <v>BAJA</v>
          </cell>
        </row>
        <row r="16703">
          <cell r="D16703" t="str">
            <v>JAD357Septiembre2026</v>
          </cell>
          <cell r="E16703" t="str">
            <v>CMQ_TTE - QUILMES TTE</v>
          </cell>
        </row>
        <row r="16704">
          <cell r="D16704" t="str">
            <v>JCF735Septiembre2026</v>
          </cell>
          <cell r="E16704" t="str">
            <v>SUC_SRA - Sucursal San Rafael</v>
          </cell>
        </row>
        <row r="16705">
          <cell r="D16705" t="str">
            <v>JEB635Septiembre2026</v>
          </cell>
          <cell r="E16705" t="str">
            <v>Sin Operación</v>
          </cell>
        </row>
        <row r="16706">
          <cell r="D16706" t="str">
            <v>JEB636Septiembre2026</v>
          </cell>
          <cell r="E16706" t="str">
            <v>Unilever - Unilever de Arg. S.A.</v>
          </cell>
        </row>
        <row r="16707">
          <cell r="D16707" t="str">
            <v>JGG403Septiembre2026</v>
          </cell>
          <cell r="E16707" t="str">
            <v>Sin Operación</v>
          </cell>
        </row>
        <row r="16708">
          <cell r="D16708" t="str">
            <v>JGG404Septiembre2026</v>
          </cell>
          <cell r="E16708" t="str">
            <v>Expreso - Servicios Troncales</v>
          </cell>
        </row>
        <row r="16709">
          <cell r="D16709" t="str">
            <v>JGG405Septiembre2026</v>
          </cell>
          <cell r="E16709" t="str">
            <v>Sin Operación</v>
          </cell>
        </row>
        <row r="16710">
          <cell r="D16710" t="str">
            <v>JGG406Septiembre2026</v>
          </cell>
          <cell r="E16710" t="str">
            <v>Expreso - Servicios Troncales</v>
          </cell>
        </row>
        <row r="16711">
          <cell r="D16711" t="str">
            <v>JHD033Septiembre2026</v>
          </cell>
          <cell r="E16711" t="str">
            <v>Expreso - Servicios Troncales</v>
          </cell>
        </row>
        <row r="16712">
          <cell r="D16712" t="str">
            <v>JHD034Septiembre2026</v>
          </cell>
          <cell r="E16712" t="str">
            <v>Expreso - Servicios Troncales</v>
          </cell>
        </row>
        <row r="16713">
          <cell r="D16713" t="str">
            <v>JHD035Septiembre2026</v>
          </cell>
          <cell r="E16713" t="str">
            <v>Expreso - Servicios Troncales</v>
          </cell>
        </row>
        <row r="16714">
          <cell r="D16714" t="str">
            <v>JIL501Septiembre2026</v>
          </cell>
          <cell r="E16714" t="str">
            <v>Unilever - Unilever de Arg. S.A.</v>
          </cell>
        </row>
        <row r="16715">
          <cell r="D16715" t="str">
            <v>JIL525Septiembre2026</v>
          </cell>
          <cell r="E16715" t="str">
            <v>CENCO_SJ - Cencosud SA - San Juan</v>
          </cell>
        </row>
        <row r="16716">
          <cell r="D16716" t="str">
            <v>JIU311Septiembre2026</v>
          </cell>
          <cell r="E16716" t="str">
            <v>Expreso - Servicios Troncales</v>
          </cell>
        </row>
        <row r="16717">
          <cell r="D16717" t="str">
            <v>JJH871Septiembre2026</v>
          </cell>
          <cell r="E16717" t="str">
            <v>CCUCoAZA</v>
          </cell>
        </row>
        <row r="16718">
          <cell r="D16718" t="str">
            <v>JKG664Septiembre2026</v>
          </cell>
          <cell r="E16718" t="str">
            <v>Molca</v>
          </cell>
        </row>
        <row r="16719">
          <cell r="D16719" t="str">
            <v>JKQ773Septiembre2026</v>
          </cell>
          <cell r="E16719" t="str">
            <v>Sin Operación</v>
          </cell>
        </row>
        <row r="16720">
          <cell r="D16720" t="str">
            <v>JKQ774Septiembre2026</v>
          </cell>
          <cell r="E16720" t="str">
            <v>CCUCoAZA</v>
          </cell>
        </row>
        <row r="16721">
          <cell r="D16721" t="str">
            <v>JWV370Septiembre2026</v>
          </cell>
          <cell r="E16721" t="str">
            <v>Sin Operación</v>
          </cell>
        </row>
        <row r="16722">
          <cell r="D16722" t="str">
            <v>JWV371Septiembre2026</v>
          </cell>
          <cell r="E16722" t="str">
            <v>Sin Operación</v>
          </cell>
        </row>
        <row r="16723">
          <cell r="D16723" t="str">
            <v>JWV379Septiembre2026</v>
          </cell>
          <cell r="E16723" t="str">
            <v>CCUCoAZA</v>
          </cell>
        </row>
        <row r="16724">
          <cell r="D16724" t="str">
            <v>JWV380Septiembre2026</v>
          </cell>
          <cell r="E16724" t="str">
            <v>CMQ_TTE - QUILMES TTE</v>
          </cell>
        </row>
        <row r="16725">
          <cell r="D16725" t="str">
            <v>JXJ303Septiembre2026</v>
          </cell>
          <cell r="E16725" t="str">
            <v>CCUCoAZA</v>
          </cell>
        </row>
        <row r="16726">
          <cell r="D16726" t="str">
            <v>JXZ244Septiembre2026</v>
          </cell>
          <cell r="E16726" t="str">
            <v>Expreso - Servicios Troncales</v>
          </cell>
        </row>
        <row r="16727">
          <cell r="D16727" t="str">
            <v>JXZ245Septiembre2026</v>
          </cell>
          <cell r="E16727" t="str">
            <v>Expreso - Servicios Troncales</v>
          </cell>
        </row>
        <row r="16728">
          <cell r="D16728" t="str">
            <v>JXZ246Septiembre2026</v>
          </cell>
          <cell r="E16728" t="str">
            <v>Expreso - Servicios Troncales</v>
          </cell>
        </row>
        <row r="16729">
          <cell r="D16729" t="str">
            <v>JXZ992Septiembre2026</v>
          </cell>
          <cell r="E16729" t="str">
            <v>CCUCoAZA</v>
          </cell>
        </row>
        <row r="16730">
          <cell r="D16730" t="str">
            <v>JXZ993Septiembre2026</v>
          </cell>
          <cell r="E16730" t="str">
            <v>Sin Operación</v>
          </cell>
        </row>
        <row r="16731">
          <cell r="D16731" t="str">
            <v>JYQ969Septiembre2026</v>
          </cell>
          <cell r="E16731" t="str">
            <v>Topacio</v>
          </cell>
        </row>
        <row r="16732">
          <cell r="D16732" t="str">
            <v>KAU644Septiembre2026</v>
          </cell>
          <cell r="E16732" t="str">
            <v>BAJA</v>
          </cell>
        </row>
        <row r="16733">
          <cell r="D16733" t="str">
            <v>KAV644Septiembre2026</v>
          </cell>
          <cell r="E16733" t="str">
            <v>CCUCoAZA</v>
          </cell>
        </row>
        <row r="16734">
          <cell r="D16734" t="str">
            <v>KBO540Septiembre2026</v>
          </cell>
          <cell r="E16734" t="str">
            <v>BAJA</v>
          </cell>
        </row>
        <row r="16735">
          <cell r="D16735" t="str">
            <v>KBO541Septiembre2026</v>
          </cell>
          <cell r="E16735" t="str">
            <v>BAJA</v>
          </cell>
        </row>
        <row r="16736">
          <cell r="D16736" t="str">
            <v>KBO542Septiembre2026</v>
          </cell>
          <cell r="E16736" t="str">
            <v>Expreso - Servicios Troncales</v>
          </cell>
        </row>
        <row r="16737">
          <cell r="D16737" t="str">
            <v>KBV611Septiembre2026</v>
          </cell>
          <cell r="E16737" t="str">
            <v>CCUDyAZA</v>
          </cell>
        </row>
        <row r="16738">
          <cell r="D16738" t="str">
            <v>KBV613Septiembre2026</v>
          </cell>
          <cell r="E16738" t="str">
            <v>BAJA</v>
          </cell>
        </row>
        <row r="16739">
          <cell r="D16739" t="str">
            <v>KBV618Septiembre2026</v>
          </cell>
          <cell r="E16739" t="str">
            <v>CCUDyAZA</v>
          </cell>
        </row>
        <row r="16740">
          <cell r="D16740" t="str">
            <v>KBV620Septiembre2026</v>
          </cell>
          <cell r="E16740" t="str">
            <v>CCUCoAZA</v>
          </cell>
        </row>
        <row r="16741">
          <cell r="D16741" t="str">
            <v>KDG188Septiembre2026</v>
          </cell>
          <cell r="E16741" t="str">
            <v>CCUCoAZA</v>
          </cell>
        </row>
        <row r="16742">
          <cell r="D16742" t="str">
            <v>KDN278Septiembre2026</v>
          </cell>
          <cell r="E16742" t="str">
            <v>BAJA</v>
          </cell>
        </row>
        <row r="16743">
          <cell r="D16743" t="str">
            <v>KDP489Septiembre2026</v>
          </cell>
          <cell r="E16743" t="str">
            <v>BAJA</v>
          </cell>
        </row>
        <row r="16744">
          <cell r="D16744" t="str">
            <v>KER727Septiembre2026</v>
          </cell>
          <cell r="E16744" t="str">
            <v>Papelera - Papelera del Plata S.A.</v>
          </cell>
        </row>
        <row r="16745">
          <cell r="D16745" t="str">
            <v>KER728Septiembre2026</v>
          </cell>
          <cell r="E16745" t="str">
            <v>CENCO_MZ - Cencosud SA - Mendoza</v>
          </cell>
        </row>
        <row r="16746">
          <cell r="D16746" t="str">
            <v>KGM735Septiembre2026</v>
          </cell>
          <cell r="E16746" t="str">
            <v>CENCO_MZ - Cencosud SA - Mendoza</v>
          </cell>
        </row>
        <row r="16747">
          <cell r="D16747" t="str">
            <v>KHS009Septiembre2026</v>
          </cell>
          <cell r="E16747" t="str">
            <v>Sin Operación</v>
          </cell>
        </row>
        <row r="16748">
          <cell r="D16748" t="str">
            <v>KHS012Septiembre2026</v>
          </cell>
          <cell r="E16748" t="str">
            <v>Papelera - Papelera del Plata S.A.</v>
          </cell>
        </row>
        <row r="16749">
          <cell r="D16749" t="str">
            <v>KHS013Septiembre2026</v>
          </cell>
          <cell r="E16749" t="str">
            <v>SUC_GAL - Sucursal General Alvear</v>
          </cell>
        </row>
        <row r="16750">
          <cell r="D16750" t="str">
            <v>KHS025Septiembre2026</v>
          </cell>
          <cell r="E16750" t="str">
            <v>Sin Operación</v>
          </cell>
        </row>
        <row r="16751">
          <cell r="D16751" t="str">
            <v>KHS026Septiembre2026</v>
          </cell>
          <cell r="E16751" t="str">
            <v>CMQ_TTE - QUILMES TTE</v>
          </cell>
        </row>
        <row r="16752">
          <cell r="D16752" t="str">
            <v>KIL604Septiembre2026</v>
          </cell>
          <cell r="E16752" t="str">
            <v>Sin Operación</v>
          </cell>
        </row>
        <row r="16753">
          <cell r="D16753" t="str">
            <v>KIP032Septiembre2026</v>
          </cell>
          <cell r="E16753" t="str">
            <v>Expreso - Servicios Troncales</v>
          </cell>
        </row>
        <row r="16754">
          <cell r="D16754" t="str">
            <v>KJH882Septiembre2026</v>
          </cell>
          <cell r="E16754" t="str">
            <v>Molca</v>
          </cell>
        </row>
        <row r="16755">
          <cell r="D16755" t="str">
            <v>KJH885Septiembre2026</v>
          </cell>
          <cell r="E16755" t="str">
            <v>Arcor S.A.I.C.</v>
          </cell>
        </row>
        <row r="16756">
          <cell r="D16756" t="str">
            <v>KJN079Septiembre2026</v>
          </cell>
          <cell r="E16756" t="str">
            <v>BAJA</v>
          </cell>
        </row>
        <row r="16757">
          <cell r="D16757" t="str">
            <v>KKI233Septiembre2026</v>
          </cell>
          <cell r="E16757" t="str">
            <v>Papelera - Papelera del Plata S.A.</v>
          </cell>
        </row>
        <row r="16758">
          <cell r="D16758" t="str">
            <v>KKZ666Septiembre2026</v>
          </cell>
          <cell r="E16758" t="str">
            <v>Arcor S.A.I.C.</v>
          </cell>
        </row>
        <row r="16759">
          <cell r="D16759" t="str">
            <v>KKZ668Septiembre2026</v>
          </cell>
          <cell r="E16759" t="str">
            <v>Arcor S.A.I.C.</v>
          </cell>
        </row>
        <row r="16760">
          <cell r="D16760" t="str">
            <v>KKZ669Septiembre2026</v>
          </cell>
          <cell r="E16760" t="str">
            <v>Arcor S.A.I.C.</v>
          </cell>
        </row>
        <row r="16761">
          <cell r="D16761" t="str">
            <v>KLY952Septiembre2026</v>
          </cell>
          <cell r="E16761" t="str">
            <v>AGN_TTE - AGUANORT - Transporte</v>
          </cell>
        </row>
        <row r="16762">
          <cell r="D16762" t="str">
            <v>KLY974Septiembre2026</v>
          </cell>
          <cell r="E16762" t="str">
            <v>CENCOMLD - Cencosud SA - Mendoza</v>
          </cell>
        </row>
        <row r="16763">
          <cell r="D16763" t="str">
            <v>KMF921Septiembre2026</v>
          </cell>
          <cell r="E16763" t="str">
            <v>Arcor S.A.I.C.</v>
          </cell>
        </row>
        <row r="16764">
          <cell r="D16764" t="str">
            <v>KMM903Septiembre2026</v>
          </cell>
          <cell r="E16764" t="str">
            <v>AGN_TTE - AGUANORT - Transporte</v>
          </cell>
        </row>
        <row r="16765">
          <cell r="D16765" t="str">
            <v>KMM904Septiembre2026</v>
          </cell>
          <cell r="E16765" t="str">
            <v>AGN_TTE - AGUANORT - Transporte</v>
          </cell>
        </row>
        <row r="16766">
          <cell r="D16766" t="str">
            <v>KMN384Septiembre2026</v>
          </cell>
          <cell r="E16766" t="str">
            <v>Expreso - Servicios Troncales</v>
          </cell>
        </row>
        <row r="16767">
          <cell r="D16767" t="str">
            <v>KMN385Septiembre2026</v>
          </cell>
          <cell r="E16767" t="str">
            <v>Expreso - Servicios Troncales</v>
          </cell>
        </row>
        <row r="16768">
          <cell r="D16768" t="str">
            <v>KNE956Septiembre2026</v>
          </cell>
          <cell r="E16768" t="str">
            <v>ADA_CH - Danone Arg. S.A. - Chascomus</v>
          </cell>
        </row>
        <row r="16769">
          <cell r="D16769" t="str">
            <v>KPQ389Septiembre2026</v>
          </cell>
          <cell r="E16769" t="str">
            <v>AGN_TTE - AGUANORT - Transporte</v>
          </cell>
        </row>
        <row r="16770">
          <cell r="D16770" t="str">
            <v>KPQ390Septiembre2026</v>
          </cell>
          <cell r="E16770" t="str">
            <v>Sin Operación</v>
          </cell>
        </row>
        <row r="16771">
          <cell r="D16771" t="str">
            <v>KPQ391Septiembre2026</v>
          </cell>
          <cell r="E16771" t="str">
            <v>Sin Operación</v>
          </cell>
        </row>
        <row r="16772">
          <cell r="D16772" t="str">
            <v>KPQ392Septiembre2026</v>
          </cell>
          <cell r="E16772" t="str">
            <v>AGN_TTE - AGUANORT - Transporte</v>
          </cell>
        </row>
        <row r="16773">
          <cell r="D16773" t="str">
            <v>KPQ393Septiembre2026</v>
          </cell>
          <cell r="E16773" t="str">
            <v>CMQ_TTE - QUILMES TTE</v>
          </cell>
        </row>
        <row r="16774">
          <cell r="D16774" t="str">
            <v>KRR045Septiembre2026</v>
          </cell>
          <cell r="E16774" t="str">
            <v>Expreso - Servicios Troncales</v>
          </cell>
        </row>
        <row r="16775">
          <cell r="D16775" t="str">
            <v>KRR046Septiembre2026</v>
          </cell>
          <cell r="E16775" t="str">
            <v>Expreso - Servicios Troncales</v>
          </cell>
        </row>
        <row r="16776">
          <cell r="D16776" t="str">
            <v>KTC854Septiembre2026</v>
          </cell>
          <cell r="E16776" t="str">
            <v>CCUCoAZA</v>
          </cell>
        </row>
        <row r="16777">
          <cell r="D16777" t="str">
            <v>KUF605Septiembre2026</v>
          </cell>
          <cell r="E16777" t="str">
            <v>Expreso - Servicios Troncales</v>
          </cell>
        </row>
        <row r="16778">
          <cell r="D16778" t="str">
            <v>KUF606Septiembre2026</v>
          </cell>
          <cell r="E16778" t="str">
            <v>Expreso - Servicios Troncales</v>
          </cell>
        </row>
        <row r="16779">
          <cell r="D16779" t="str">
            <v>KUF609Septiembre2026</v>
          </cell>
          <cell r="E16779" t="str">
            <v>Expreso - Servicios Troncales</v>
          </cell>
        </row>
        <row r="16780">
          <cell r="D16780" t="str">
            <v>KVP166Septiembre2026</v>
          </cell>
          <cell r="E16780" t="str">
            <v>Arcor S.A.I.C.</v>
          </cell>
        </row>
        <row r="16781">
          <cell r="D16781" t="str">
            <v>LAQ225Septiembre2026</v>
          </cell>
          <cell r="E16781" t="str">
            <v>BAJA</v>
          </cell>
        </row>
        <row r="16782">
          <cell r="D16782" t="str">
            <v>LFK336Septiembre2026</v>
          </cell>
          <cell r="E16782" t="str">
            <v>Expreso - Servicios Troncales</v>
          </cell>
        </row>
        <row r="16783">
          <cell r="D16783" t="str">
            <v>LFK337Septiembre2026</v>
          </cell>
          <cell r="E16783" t="str">
            <v>Expreso - Servicios Troncales</v>
          </cell>
        </row>
        <row r="16784">
          <cell r="D16784" t="str">
            <v>LFK338Septiembre2026</v>
          </cell>
          <cell r="E16784" t="str">
            <v>Expreso - Servicios Troncales</v>
          </cell>
        </row>
        <row r="16785">
          <cell r="D16785" t="str">
            <v>LFK339Septiembre2026</v>
          </cell>
          <cell r="E16785" t="str">
            <v>Expreso - Servicios Troncales</v>
          </cell>
        </row>
        <row r="16786">
          <cell r="D16786" t="str">
            <v>LRN157Septiembre2026</v>
          </cell>
          <cell r="E16786" t="str">
            <v>CENCOMLD - Cencosud SA - Mendoza</v>
          </cell>
        </row>
        <row r="16787">
          <cell r="D16787" t="str">
            <v>LTS288Septiembre2026</v>
          </cell>
          <cell r="E16787" t="str">
            <v>CENCOMLD - Cencosud SA - Mendoza</v>
          </cell>
        </row>
        <row r="16788">
          <cell r="D16788" t="str">
            <v>LUW863Septiembre2026</v>
          </cell>
          <cell r="E16788" t="str">
            <v>CENCOMLD - Cencosud SA - Mendoza</v>
          </cell>
        </row>
        <row r="16789">
          <cell r="D16789" t="str">
            <v>LXH429Septiembre2026</v>
          </cell>
          <cell r="E16789" t="str">
            <v>BAJA</v>
          </cell>
        </row>
        <row r="16790">
          <cell r="D16790" t="str">
            <v>LXM511Septiembre2026</v>
          </cell>
          <cell r="E16790" t="str">
            <v>CENCOMLD - Cencosud SA - Mendoza</v>
          </cell>
        </row>
        <row r="16791">
          <cell r="D16791" t="str">
            <v>MAO550Septiembre2026</v>
          </cell>
          <cell r="E16791" t="str">
            <v>CMQ_TTE - QUILMES TTE</v>
          </cell>
        </row>
        <row r="16792">
          <cell r="D16792" t="str">
            <v>MFW350Septiembre2026</v>
          </cell>
          <cell r="E16792" t="str">
            <v>BAJA</v>
          </cell>
        </row>
        <row r="16793">
          <cell r="D16793" t="str">
            <v>MYR537Septiembre2026</v>
          </cell>
          <cell r="E16793" t="str">
            <v>CENCOMLD - Cencosud SA - Mendoza</v>
          </cell>
        </row>
        <row r="16794">
          <cell r="D16794" t="str">
            <v>NIE146Septiembre2026</v>
          </cell>
          <cell r="E16794" t="str">
            <v>CMQ_TTE - QUILMES TTE</v>
          </cell>
        </row>
        <row r="16795">
          <cell r="D16795" t="str">
            <v>NIE147Septiembre2026</v>
          </cell>
          <cell r="E16795" t="str">
            <v>CMQ_TTE - QUILMES TTE</v>
          </cell>
        </row>
        <row r="16796">
          <cell r="D16796" t="str">
            <v>NIE148Septiembre2026</v>
          </cell>
          <cell r="E16796" t="str">
            <v>Papelera - Papelera del Plata S.A.</v>
          </cell>
        </row>
        <row r="16797">
          <cell r="D16797" t="str">
            <v>NIE149Septiembre2026</v>
          </cell>
          <cell r="E16797" t="str">
            <v>CMQ_TTE - QUILMES TTE</v>
          </cell>
        </row>
        <row r="16798">
          <cell r="D16798" t="str">
            <v>NIE150Septiembre2026</v>
          </cell>
          <cell r="E16798" t="str">
            <v>Papelera - Papelera del Plata S.A.</v>
          </cell>
        </row>
        <row r="16799">
          <cell r="D16799" t="str">
            <v>NIE152Septiembre2026</v>
          </cell>
          <cell r="E16799" t="str">
            <v>CMQ_TTE - QUILMES TTE</v>
          </cell>
        </row>
        <row r="16800">
          <cell r="D16800" t="str">
            <v>NIE153Septiembre2026</v>
          </cell>
          <cell r="E16800" t="str">
            <v>CMQ_TTE - QUILMES TTE</v>
          </cell>
        </row>
        <row r="16801">
          <cell r="D16801" t="str">
            <v>NIE154Septiembre2026</v>
          </cell>
          <cell r="E16801" t="str">
            <v>CMQ_TTE - QUILMES TTE</v>
          </cell>
        </row>
        <row r="16802">
          <cell r="D16802" t="str">
            <v>NIE155Septiembre2026</v>
          </cell>
          <cell r="E16802" t="str">
            <v>Papelera - Papelera del Plata S.A.</v>
          </cell>
        </row>
        <row r="16803">
          <cell r="D16803" t="str">
            <v>NUG769Septiembre2026</v>
          </cell>
          <cell r="E16803" t="str">
            <v>BAJA</v>
          </cell>
        </row>
        <row r="16804">
          <cell r="D16804" t="str">
            <v>NVX394Septiembre2026</v>
          </cell>
          <cell r="E16804" t="str">
            <v>CIMSA_MZA</v>
          </cell>
        </row>
        <row r="16805">
          <cell r="D16805" t="str">
            <v>NWV169Septiembre2026</v>
          </cell>
          <cell r="E16805" t="str">
            <v>Expreso - Servicios Troncales</v>
          </cell>
        </row>
        <row r="16806">
          <cell r="D16806" t="str">
            <v>NWV170Septiembre2026</v>
          </cell>
          <cell r="E16806" t="str">
            <v>Expreso - Servicios Troncales</v>
          </cell>
        </row>
        <row r="16807">
          <cell r="D16807" t="str">
            <v>NWV171Septiembre2026</v>
          </cell>
          <cell r="E16807" t="str">
            <v>Expreso - Servicios Troncales</v>
          </cell>
        </row>
        <row r="16808">
          <cell r="D16808" t="str">
            <v>NWV172Septiembre2026</v>
          </cell>
          <cell r="E16808" t="str">
            <v>Expreso - Servicios Troncales</v>
          </cell>
        </row>
        <row r="16809">
          <cell r="D16809" t="str">
            <v>OAF635Septiembre2026</v>
          </cell>
          <cell r="E16809" t="str">
            <v>Expreso - Servicios Troncales</v>
          </cell>
        </row>
        <row r="16810">
          <cell r="D16810" t="str">
            <v>OAF636Septiembre2026</v>
          </cell>
          <cell r="E16810" t="str">
            <v>Expreso - Servicios Troncales</v>
          </cell>
        </row>
        <row r="16811">
          <cell r="D16811" t="str">
            <v>OAF637Septiembre2026</v>
          </cell>
          <cell r="E16811" t="str">
            <v>Expreso - Servicios Troncales</v>
          </cell>
        </row>
        <row r="16812">
          <cell r="D16812" t="str">
            <v>OAF638Septiembre2026</v>
          </cell>
          <cell r="E16812" t="str">
            <v>Expreso - Servicios Troncales</v>
          </cell>
        </row>
        <row r="16813">
          <cell r="D16813" t="str">
            <v>OAF639Septiembre2026</v>
          </cell>
          <cell r="E16813" t="str">
            <v>CENCOMLD - Cencosud SA - Mendoza</v>
          </cell>
        </row>
        <row r="16814">
          <cell r="D16814" t="str">
            <v>OAF640Septiembre2026</v>
          </cell>
          <cell r="E16814" t="str">
            <v>Expreso - Servicios Troncales</v>
          </cell>
        </row>
        <row r="16815">
          <cell r="D16815" t="str">
            <v>OAF641Septiembre2026</v>
          </cell>
          <cell r="E16815" t="str">
            <v>Expreso - Servicios Troncales</v>
          </cell>
        </row>
        <row r="16816">
          <cell r="D16816" t="str">
            <v>OAF642Septiembre2026</v>
          </cell>
          <cell r="E16816" t="str">
            <v>Expreso - Servicios Troncales</v>
          </cell>
        </row>
        <row r="16817">
          <cell r="D16817" t="str">
            <v>OAF643Septiembre2026</v>
          </cell>
          <cell r="E16817" t="str">
            <v>Expreso - Servicios Troncales</v>
          </cell>
        </row>
        <row r="16818">
          <cell r="D16818" t="str">
            <v>OAF644Septiembre2026</v>
          </cell>
          <cell r="E16818" t="str">
            <v>Expreso - Servicios Troncales</v>
          </cell>
        </row>
        <row r="16819">
          <cell r="D16819" t="str">
            <v>OAF653Septiembre2026</v>
          </cell>
          <cell r="E16819" t="str">
            <v>Expreso - Servicios Troncales</v>
          </cell>
        </row>
        <row r="16820">
          <cell r="D16820" t="str">
            <v>OFF648Septiembre2026</v>
          </cell>
          <cell r="E16820" t="str">
            <v>CMQ_TTE - QUILMES TTE</v>
          </cell>
        </row>
        <row r="16821">
          <cell r="D16821" t="str">
            <v>OFV178Septiembre2026</v>
          </cell>
          <cell r="E16821" t="str">
            <v>JOHNSON - SC JOHNSON DE ARGENTINA SAIC</v>
          </cell>
        </row>
        <row r="16822">
          <cell r="D16822" t="str">
            <v>OFV179Septiembre2026</v>
          </cell>
          <cell r="E16822" t="str">
            <v>Molca</v>
          </cell>
        </row>
        <row r="16823">
          <cell r="D16823" t="str">
            <v>OFZ590Septiembre2026</v>
          </cell>
          <cell r="E16823" t="str">
            <v>Molca</v>
          </cell>
        </row>
        <row r="16824">
          <cell r="D16824" t="str">
            <v>OFZ591Septiembre2026</v>
          </cell>
          <cell r="E16824" t="str">
            <v>Unilever - Unilever de Arg. S.A.</v>
          </cell>
        </row>
        <row r="16825">
          <cell r="D16825" t="str">
            <v>OFZ592Septiembre2026</v>
          </cell>
          <cell r="E16825" t="str">
            <v>Expreso - Servicios Troncales</v>
          </cell>
        </row>
        <row r="16826">
          <cell r="D16826" t="str">
            <v>OHH586Septiembre2026</v>
          </cell>
          <cell r="E16826" t="str">
            <v>CCUDyAZA</v>
          </cell>
        </row>
        <row r="16827">
          <cell r="D16827" t="str">
            <v>OHH588Septiembre2026</v>
          </cell>
          <cell r="E16827" t="str">
            <v>CCUDyAZA</v>
          </cell>
        </row>
        <row r="16828">
          <cell r="D16828" t="str">
            <v>OHH589Septiembre2026</v>
          </cell>
          <cell r="E16828" t="str">
            <v>CMQ_TTE - QUILMES TTE</v>
          </cell>
        </row>
        <row r="16829">
          <cell r="D16829" t="str">
            <v>OHH590Septiembre2026</v>
          </cell>
          <cell r="E16829" t="str">
            <v>CCUDyAZA</v>
          </cell>
        </row>
        <row r="16830">
          <cell r="D16830" t="str">
            <v>OHH591Septiembre2026</v>
          </cell>
          <cell r="E16830" t="str">
            <v>CCUDyAZA</v>
          </cell>
        </row>
        <row r="16831">
          <cell r="D16831" t="str">
            <v>OHH592Septiembre2026</v>
          </cell>
          <cell r="E16831" t="str">
            <v>CMQ_TTE - QUILMES TTE</v>
          </cell>
        </row>
        <row r="16832">
          <cell r="D16832" t="str">
            <v>OHH593Septiembre2026</v>
          </cell>
          <cell r="E16832" t="str">
            <v>CCUCoAZA</v>
          </cell>
        </row>
        <row r="16833">
          <cell r="D16833" t="str">
            <v>OHH595Septiembre2026</v>
          </cell>
          <cell r="E16833" t="str">
            <v>CCUDyAZA</v>
          </cell>
        </row>
        <row r="16834">
          <cell r="D16834" t="str">
            <v>OHH596Septiembre2026</v>
          </cell>
          <cell r="E16834" t="str">
            <v>CCUCoAZA</v>
          </cell>
        </row>
        <row r="16835">
          <cell r="D16835" t="str">
            <v>OHH597Septiembre2026</v>
          </cell>
          <cell r="E16835" t="str">
            <v>CMQ_TTE - QUILMES TTE</v>
          </cell>
        </row>
        <row r="16836">
          <cell r="D16836" t="str">
            <v>OIC418Septiembre2026</v>
          </cell>
          <cell r="E16836" t="str">
            <v>CCUDyAZA</v>
          </cell>
        </row>
        <row r="16837">
          <cell r="D16837" t="str">
            <v>OIC419Septiembre2026</v>
          </cell>
          <cell r="E16837" t="str">
            <v>CCUDyAZA</v>
          </cell>
        </row>
        <row r="16838">
          <cell r="D16838" t="str">
            <v>OJG060Septiembre2026</v>
          </cell>
          <cell r="E16838" t="str">
            <v>CCUDyAZA</v>
          </cell>
        </row>
        <row r="16839">
          <cell r="D16839" t="str">
            <v>OJG061Septiembre2026</v>
          </cell>
          <cell r="E16839" t="str">
            <v>CCUDyAZA</v>
          </cell>
        </row>
        <row r="16840">
          <cell r="D16840" t="str">
            <v>OJG062Septiembre2026</v>
          </cell>
          <cell r="E16840" t="str">
            <v>CCUDyAZA</v>
          </cell>
        </row>
        <row r="16841">
          <cell r="D16841" t="str">
            <v>OJG063Septiembre2026</v>
          </cell>
          <cell r="E16841" t="str">
            <v>CCUCoAZA</v>
          </cell>
        </row>
        <row r="16842">
          <cell r="D16842" t="str">
            <v>OJG064Septiembre2026</v>
          </cell>
          <cell r="E16842" t="str">
            <v>CMQ_TTE - QUILMES TTE</v>
          </cell>
        </row>
        <row r="16843">
          <cell r="D16843" t="str">
            <v>OJG065Septiembre2026</v>
          </cell>
          <cell r="E16843" t="str">
            <v>CCUDyAZA</v>
          </cell>
        </row>
        <row r="16844">
          <cell r="D16844" t="str">
            <v>OJG072Septiembre2026</v>
          </cell>
          <cell r="E16844" t="str">
            <v>CMQ_TTE - QUILMES TTE</v>
          </cell>
        </row>
        <row r="16845">
          <cell r="D16845" t="str">
            <v>OJG073Septiembre2026</v>
          </cell>
          <cell r="E16845" t="str">
            <v>CMQ_TTE - QUILMES TTE</v>
          </cell>
        </row>
        <row r="16846">
          <cell r="D16846" t="str">
            <v>OJG074Septiembre2026</v>
          </cell>
          <cell r="E16846" t="str">
            <v>Sin Operación</v>
          </cell>
        </row>
        <row r="16847">
          <cell r="D16847" t="str">
            <v>OJG075Septiembre2026</v>
          </cell>
          <cell r="E16847" t="str">
            <v>Expreso - Servicios Troncales</v>
          </cell>
        </row>
        <row r="16848">
          <cell r="D16848" t="str">
            <v>OJG076Septiembre2026</v>
          </cell>
          <cell r="E16848" t="str">
            <v>Expreso - Servicios Troncales</v>
          </cell>
        </row>
        <row r="16849">
          <cell r="D16849" t="str">
            <v>OJG097Septiembre2026</v>
          </cell>
          <cell r="E16849" t="str">
            <v>CCUDyAZA</v>
          </cell>
        </row>
        <row r="16850">
          <cell r="D16850" t="str">
            <v>OJG098Septiembre2026</v>
          </cell>
          <cell r="E16850" t="str">
            <v>CCUDyAZA</v>
          </cell>
        </row>
        <row r="16851">
          <cell r="D16851" t="str">
            <v>OJG099Septiembre2026</v>
          </cell>
          <cell r="E16851" t="str">
            <v>CCUDyAZA</v>
          </cell>
        </row>
        <row r="16852">
          <cell r="D16852" t="str">
            <v>OJG101Septiembre2026</v>
          </cell>
          <cell r="E16852" t="str">
            <v>CCUDyAZA</v>
          </cell>
        </row>
        <row r="16853">
          <cell r="D16853" t="str">
            <v>OJG103Septiembre2026</v>
          </cell>
          <cell r="E16853" t="str">
            <v>Expreso - Servicios Troncales</v>
          </cell>
        </row>
        <row r="16854">
          <cell r="D16854" t="str">
            <v>OMQ198Septiembre2026</v>
          </cell>
          <cell r="E16854" t="str">
            <v>CCUDyAZA</v>
          </cell>
        </row>
        <row r="16855">
          <cell r="D16855" t="str">
            <v>OMQ199Septiembre2026</v>
          </cell>
          <cell r="E16855" t="str">
            <v>CCUDyAZA</v>
          </cell>
        </row>
        <row r="16856">
          <cell r="D16856" t="str">
            <v>ONB350Septiembre2026</v>
          </cell>
          <cell r="E16856" t="str">
            <v>BAJA</v>
          </cell>
        </row>
        <row r="16857">
          <cell r="D16857" t="str">
            <v>ONB392Septiembre2026</v>
          </cell>
          <cell r="E16857" t="str">
            <v>BAJA</v>
          </cell>
        </row>
        <row r="16858">
          <cell r="D16858" t="str">
            <v>ONB395Septiembre2026</v>
          </cell>
          <cell r="E16858" t="str">
            <v>BAJA</v>
          </cell>
        </row>
        <row r="16859">
          <cell r="D16859" t="str">
            <v>OZH811Septiembre2026</v>
          </cell>
          <cell r="E16859" t="str">
            <v>CENCOMLD - Cencosud SA - Mendoza</v>
          </cell>
        </row>
        <row r="16860">
          <cell r="D16860" t="str">
            <v>PDD687Septiembre2026</v>
          </cell>
          <cell r="E16860" t="str">
            <v>CENCOMLD - Cencosud SA - Mendoza</v>
          </cell>
        </row>
        <row r="16861">
          <cell r="D16861" t="str">
            <v>PLU468Septiembre2026</v>
          </cell>
          <cell r="E16861" t="str">
            <v>JOHNSON - SC JOHNSON DE ARGENTINA SAIC</v>
          </cell>
        </row>
        <row r="16862">
          <cell r="D16862" t="str">
            <v>PLU469Septiembre2026</v>
          </cell>
          <cell r="E16862" t="str">
            <v>CCUDyAZA</v>
          </cell>
        </row>
        <row r="16863">
          <cell r="D16863" t="str">
            <v>RAU901Septiembre2026</v>
          </cell>
          <cell r="E16863" t="str">
            <v>BAJA</v>
          </cell>
        </row>
        <row r="16864">
          <cell r="D16864" t="str">
            <v>RCS092Septiembre2026</v>
          </cell>
          <cell r="E16864" t="str">
            <v>BAJA</v>
          </cell>
        </row>
        <row r="16865">
          <cell r="D16865" t="str">
            <v>RCS097Septiembre2026</v>
          </cell>
          <cell r="E16865" t="str">
            <v>SUC_SRA - Sucursal San Rafael</v>
          </cell>
        </row>
        <row r="16866">
          <cell r="D16866" t="str">
            <v>RLD364Septiembre2026</v>
          </cell>
          <cell r="E16866" t="str">
            <v>BAJA</v>
          </cell>
        </row>
        <row r="16867">
          <cell r="D16867" t="str">
            <v>RNO350Septiembre2026</v>
          </cell>
          <cell r="E16867" t="str">
            <v>FLETERO EXPRESO</v>
          </cell>
        </row>
        <row r="16868">
          <cell r="D16868" t="str">
            <v>RNX412Septiembre2026</v>
          </cell>
          <cell r="E16868" t="str">
            <v>Expreso - Servicios Troncales</v>
          </cell>
        </row>
        <row r="16869">
          <cell r="D16869" t="str">
            <v>ROC452Septiembre2026</v>
          </cell>
          <cell r="E16869" t="str">
            <v>BAJA</v>
          </cell>
        </row>
        <row r="16870">
          <cell r="D16870" t="str">
            <v>RUT270Septiembre2026</v>
          </cell>
          <cell r="E16870" t="str">
            <v>BAJA</v>
          </cell>
        </row>
        <row r="16871">
          <cell r="D16871" t="str">
            <v>SHZ643Septiembre2026</v>
          </cell>
          <cell r="E16871" t="str">
            <v>CMQ_TTE - QUILMES TTE</v>
          </cell>
        </row>
        <row r="16872">
          <cell r="D16872" t="str">
            <v>SHZ662Septiembre2026</v>
          </cell>
          <cell r="E16872" t="str">
            <v>CMQ_TTE - QUILMES TTE</v>
          </cell>
        </row>
        <row r="16873">
          <cell r="D16873" t="str">
            <v>SKX507Septiembre2026</v>
          </cell>
          <cell r="E16873" t="str">
            <v>BAJA</v>
          </cell>
        </row>
        <row r="16874">
          <cell r="D16874" t="str">
            <v>SOC883Septiembre2026</v>
          </cell>
          <cell r="E16874" t="str">
            <v>Expreso - Servicios Troncales</v>
          </cell>
        </row>
        <row r="16875">
          <cell r="D16875" t="str">
            <v>SSC171Septiembre2026</v>
          </cell>
          <cell r="E16875" t="str">
            <v>BAJA</v>
          </cell>
        </row>
        <row r="16876">
          <cell r="D16876" t="str">
            <v>SXB013Septiembre2026</v>
          </cell>
          <cell r="E16876" t="str">
            <v>BAJA</v>
          </cell>
        </row>
        <row r="16877">
          <cell r="D16877" t="str">
            <v>SYA640Septiembre2026</v>
          </cell>
          <cell r="E16877" t="str">
            <v>BAJA</v>
          </cell>
        </row>
        <row r="16878">
          <cell r="D16878" t="str">
            <v>SYG971Septiembre2026</v>
          </cell>
          <cell r="E16878" t="str">
            <v>Sin Operación</v>
          </cell>
        </row>
        <row r="16879">
          <cell r="D16879" t="str">
            <v>SYG972Septiembre2026</v>
          </cell>
          <cell r="E16879" t="str">
            <v>BAJA</v>
          </cell>
        </row>
        <row r="16880">
          <cell r="D16880" t="str">
            <v>SYG989Septiembre2026</v>
          </cell>
          <cell r="E16880" t="str">
            <v>BAJA</v>
          </cell>
        </row>
        <row r="16881">
          <cell r="D16881" t="str">
            <v>SYP554Septiembre2026</v>
          </cell>
          <cell r="E16881" t="str">
            <v>Sin Operación</v>
          </cell>
        </row>
        <row r="16882">
          <cell r="D16882" t="str">
            <v>TDP263Septiembre2026</v>
          </cell>
          <cell r="E16882" t="str">
            <v>BAJA</v>
          </cell>
        </row>
        <row r="16883">
          <cell r="D16883" t="str">
            <v>TJK520Septiembre2026</v>
          </cell>
          <cell r="E16883" t="str">
            <v>BAJA</v>
          </cell>
        </row>
        <row r="16884">
          <cell r="D16884" t="str">
            <v>TLH736Septiembre2026</v>
          </cell>
          <cell r="E16884" t="str">
            <v>SUC_SRA - Sucursal San Rafael</v>
          </cell>
        </row>
        <row r="16885">
          <cell r="D16885" t="str">
            <v>TMF902Septiembre2026</v>
          </cell>
          <cell r="E16885" t="str">
            <v>BAJA</v>
          </cell>
        </row>
        <row r="16886">
          <cell r="D16886" t="str">
            <v>TMF909Septiembre2026</v>
          </cell>
          <cell r="E16886" t="str">
            <v>INACTIVO</v>
          </cell>
        </row>
        <row r="16887">
          <cell r="D16887" t="str">
            <v>TPL487Septiembre2026</v>
          </cell>
          <cell r="E16887" t="str">
            <v>BAJA</v>
          </cell>
        </row>
        <row r="16888">
          <cell r="D16888" t="str">
            <v>TPQ039Septiembre2026</v>
          </cell>
          <cell r="E16888" t="str">
            <v>CMQ_TTE - QUILMES TTE</v>
          </cell>
        </row>
        <row r="16889">
          <cell r="D16889" t="str">
            <v>TQM070Septiembre2026</v>
          </cell>
          <cell r="E16889" t="str">
            <v>BAJA</v>
          </cell>
        </row>
        <row r="16890">
          <cell r="D16890" t="str">
            <v>TRC504Septiembre2026</v>
          </cell>
          <cell r="E16890" t="str">
            <v>BAJA</v>
          </cell>
        </row>
        <row r="16891">
          <cell r="D16891" t="str">
            <v>TSL775Septiembre2026</v>
          </cell>
          <cell r="E16891" t="str">
            <v>INACTIVO</v>
          </cell>
        </row>
        <row r="16892">
          <cell r="D16892" t="str">
            <v>TTV896Septiembre2026</v>
          </cell>
          <cell r="E16892" t="str">
            <v>INACTIVO</v>
          </cell>
        </row>
        <row r="16893">
          <cell r="D16893" t="str">
            <v>TTV898Septiembre2026</v>
          </cell>
          <cell r="E16893" t="str">
            <v>INACTIVO</v>
          </cell>
        </row>
        <row r="16894">
          <cell r="D16894" t="str">
            <v>TTV899Septiembre2026</v>
          </cell>
          <cell r="E16894" t="str">
            <v>Sin Operación</v>
          </cell>
        </row>
        <row r="16895">
          <cell r="D16895" t="str">
            <v>UGC053Septiembre2026</v>
          </cell>
          <cell r="E16895" t="str">
            <v>BAJA</v>
          </cell>
        </row>
        <row r="16896">
          <cell r="D16896" t="str">
            <v>UTX203Septiembre2026</v>
          </cell>
          <cell r="E16896" t="str">
            <v>INACTIVO</v>
          </cell>
        </row>
        <row r="16897">
          <cell r="D16897" t="str">
            <v>UTX205Septiembre2026</v>
          </cell>
          <cell r="E16897" t="str">
            <v>INACTIVO</v>
          </cell>
        </row>
        <row r="16898">
          <cell r="D16898" t="str">
            <v>UVL969Septiembre2026</v>
          </cell>
          <cell r="E16898" t="str">
            <v>INACTIVO</v>
          </cell>
        </row>
        <row r="16899">
          <cell r="D16899" t="str">
            <v>VJQ213Septiembre2026</v>
          </cell>
          <cell r="E16899" t="str">
            <v>Sin Operación</v>
          </cell>
        </row>
        <row r="16900">
          <cell r="D16900" t="str">
            <v>VJQ325Septiembre2026</v>
          </cell>
          <cell r="E16900" t="str">
            <v>BAJA</v>
          </cell>
        </row>
        <row r="16901">
          <cell r="D16901" t="str">
            <v>VLM778Septiembre2026</v>
          </cell>
          <cell r="E16901" t="str">
            <v>BAJA</v>
          </cell>
        </row>
        <row r="16902">
          <cell r="D16902" t="str">
            <v>VOO986Septiembre2026</v>
          </cell>
          <cell r="E16902" t="str">
            <v>BAJA</v>
          </cell>
        </row>
        <row r="16903">
          <cell r="D16903" t="str">
            <v>VOO996Septiembre2026</v>
          </cell>
          <cell r="E16903" t="str">
            <v>BAJA</v>
          </cell>
        </row>
        <row r="16904">
          <cell r="D16904" t="str">
            <v>VPC769Septiembre2026</v>
          </cell>
          <cell r="E16904" t="str">
            <v>BAJA</v>
          </cell>
        </row>
        <row r="16905">
          <cell r="D16905" t="str">
            <v>VPS388Septiembre2026</v>
          </cell>
          <cell r="E16905" t="str">
            <v>INACTIVO</v>
          </cell>
        </row>
        <row r="16906">
          <cell r="D16906" t="str">
            <v>VPS391Septiembre2026</v>
          </cell>
          <cell r="E16906" t="str">
            <v>INACTIVO</v>
          </cell>
        </row>
        <row r="16907">
          <cell r="D16907" t="str">
            <v>WBL441Septiembre2026</v>
          </cell>
          <cell r="E16907" t="str">
            <v>BAJA</v>
          </cell>
        </row>
        <row r="16908">
          <cell r="D16908" t="str">
            <v>WEC405Septiembre2026</v>
          </cell>
          <cell r="E16908" t="str">
            <v>FLETERO EXPRESO</v>
          </cell>
        </row>
        <row r="16909">
          <cell r="D16909" t="str">
            <v>WHP090Septiembre2026</v>
          </cell>
          <cell r="E16909" t="str">
            <v>BAJA</v>
          </cell>
        </row>
        <row r="16910">
          <cell r="D16910" t="str">
            <v>ZZ000HCSeptiembre2026</v>
          </cell>
          <cell r="E16910" t="str">
            <v>SUC_SRA - Sucursal San Rafael</v>
          </cell>
        </row>
        <row r="16911">
          <cell r="D16911" t="str">
            <v>ZZ000HDSeptiembre2026</v>
          </cell>
          <cell r="E16911" t="str">
            <v>Sin Operación</v>
          </cell>
        </row>
        <row r="16912">
          <cell r="D16912" t="str">
            <v>AC066VHSeptiembre2026</v>
          </cell>
          <cell r="E16912" t="str">
            <v>SUC_MEN - Sucursal Mendoza</v>
          </cell>
        </row>
        <row r="16913">
          <cell r="D16913" t="str">
            <v>KJT198Septiembre2026</v>
          </cell>
          <cell r="E16913" t="str">
            <v>SUC_MEN - Sucursal Mendoza</v>
          </cell>
        </row>
        <row r="16914">
          <cell r="D16914" t="str">
            <v>HOA944Septiembre2026</v>
          </cell>
          <cell r="E16914" t="str">
            <v>SUC_MEN - Sucursal Mendoza</v>
          </cell>
        </row>
        <row r="16915">
          <cell r="D16915" t="str">
            <v>TAILIFT CKSeptiembre2026</v>
          </cell>
          <cell r="E16915" t="e">
            <v>#N/A</v>
          </cell>
        </row>
        <row r="16916">
          <cell r="D16916" t="str">
            <v>Zorra Hidraulica Electrica SRFSeptiembre2026</v>
          </cell>
          <cell r="E16916" t="e">
            <v>#N/A</v>
          </cell>
        </row>
        <row r="16917">
          <cell r="D16917" t="str">
            <v>AUTOELEVADOR HELISeptiembre2026</v>
          </cell>
          <cell r="E16917" t="e">
            <v>#N/A</v>
          </cell>
        </row>
        <row r="16918">
          <cell r="D16918" t="str">
            <v>Zorra Hidraulica Electrica REASeptiembre2026</v>
          </cell>
          <cell r="E16918" t="e">
            <v>#N/A</v>
          </cell>
        </row>
        <row r="16919">
          <cell r="D16919" t="str">
            <v>TOYOTA CKSeptiembre2026</v>
          </cell>
          <cell r="E16919" t="e">
            <v>#N/A</v>
          </cell>
        </row>
        <row r="16920">
          <cell r="D16920" t="str">
            <v>ZORRAHIDRAULICASeptiembre2026</v>
          </cell>
          <cell r="E16920" t="e">
            <v>#N/A</v>
          </cell>
        </row>
        <row r="16921">
          <cell r="D16921" t="str">
            <v>INSUMOS SRFSeptiembre2026</v>
          </cell>
          <cell r="E16921" t="e">
            <v>#N/A</v>
          </cell>
        </row>
        <row r="16922">
          <cell r="D16922" t="str">
            <v>INSUMOS BASeptiembre2026</v>
          </cell>
          <cell r="E16922" t="e">
            <v>#N/A</v>
          </cell>
        </row>
        <row r="16923">
          <cell r="D16923" t="str">
            <v>INSUMOS MZASeptiembre2026</v>
          </cell>
          <cell r="E16923" t="e">
            <v>#N/A</v>
          </cell>
        </row>
        <row r="16924">
          <cell r="D16924" t="str">
            <v>CONTRATO CDYSeptiembre2026</v>
          </cell>
          <cell r="E16924" t="e">
            <v>#N/A</v>
          </cell>
        </row>
        <row r="16925">
          <cell r="D16925" t="str">
            <v>CONTRATO DYLSeptiembre2026</v>
          </cell>
          <cell r="E16925" t="e">
            <v>#N/A</v>
          </cell>
        </row>
        <row r="16926">
          <cell r="D16926" t="str">
            <v>CONTRATO EXPSeptiembre2026</v>
          </cell>
          <cell r="E16926" t="e">
            <v>#N/A</v>
          </cell>
        </row>
        <row r="16927">
          <cell r="D16927" t="str">
            <v>CONTRATO TDUSeptiembre2026</v>
          </cell>
          <cell r="E16927" t="e">
            <v>#N/A</v>
          </cell>
        </row>
        <row r="16928">
          <cell r="D16928" t="str">
            <v>CONTRATO CDYSeptiembre2026</v>
          </cell>
          <cell r="E16928" t="e">
            <v>#N/A</v>
          </cell>
        </row>
        <row r="16929">
          <cell r="D16929" t="str">
            <v>CONTRATO CDYSeptiembre2026</v>
          </cell>
          <cell r="E16929" t="e">
            <v>#N/A</v>
          </cell>
        </row>
        <row r="16930">
          <cell r="D16930" t="str">
            <v>CONTRATO CDYSeptiembre2026</v>
          </cell>
          <cell r="E16930" t="e">
            <v>#N/A</v>
          </cell>
        </row>
        <row r="16931">
          <cell r="D16931" t="str">
            <v>CONTRATO CDYSeptiembre2026</v>
          </cell>
          <cell r="E16931" t="e">
            <v>#N/A</v>
          </cell>
        </row>
        <row r="16932">
          <cell r="D16932" t="str">
            <v>CONTRATO CDYSeptiembre2026</v>
          </cell>
          <cell r="E16932" t="e">
            <v>#N/A</v>
          </cell>
        </row>
        <row r="16933">
          <cell r="D16933" t="str">
            <v>CONTRATO CDYSeptiembre2026</v>
          </cell>
          <cell r="E16933" t="e">
            <v>#N/A</v>
          </cell>
        </row>
        <row r="16934">
          <cell r="D16934" t="str">
            <v>CONTRATO CDYSeptiembre2026</v>
          </cell>
          <cell r="E16934" t="e">
            <v>#N/A</v>
          </cell>
        </row>
        <row r="16935">
          <cell r="D16935" t="str">
            <v>CONTRATO CDYSeptiembre2026</v>
          </cell>
          <cell r="E16935" t="e">
            <v>#N/A</v>
          </cell>
        </row>
        <row r="16936">
          <cell r="D16936" t="str">
            <v>CONTRATO DYLSeptiembre2026</v>
          </cell>
          <cell r="E16936" t="e">
            <v>#N/A</v>
          </cell>
        </row>
        <row r="16937">
          <cell r="D16937" t="str">
            <v>CONTRATO DYLSeptiembre2026</v>
          </cell>
          <cell r="E16937" t="e">
            <v>#N/A</v>
          </cell>
        </row>
        <row r="16938">
          <cell r="D16938" t="str">
            <v>CONTRATO DYLSeptiembre2026</v>
          </cell>
          <cell r="E16938" t="e">
            <v>#N/A</v>
          </cell>
        </row>
        <row r="16939">
          <cell r="D16939" t="str">
            <v>CONTRATO DYLSeptiembre2026</v>
          </cell>
          <cell r="E16939" t="e">
            <v>#N/A</v>
          </cell>
        </row>
        <row r="16940">
          <cell r="D16940" t="str">
            <v>CONTRATO DYLSeptiembre2026</v>
          </cell>
          <cell r="E16940" t="e">
            <v>#N/A</v>
          </cell>
        </row>
        <row r="16941">
          <cell r="D16941" t="str">
            <v>CONTRATO DYLSeptiembre2026</v>
          </cell>
          <cell r="E16941" t="e">
            <v>#N/A</v>
          </cell>
        </row>
        <row r="16942">
          <cell r="D16942" t="str">
            <v>CONTRATO TDUSeptiembre2026</v>
          </cell>
          <cell r="E16942" t="e">
            <v>#N/A</v>
          </cell>
        </row>
        <row r="16943">
          <cell r="D16943" t="str">
            <v>CONTRATO TDUSeptiembre2026</v>
          </cell>
          <cell r="E16943" t="e">
            <v>#N/A</v>
          </cell>
        </row>
        <row r="16944">
          <cell r="D16944" t="str">
            <v>CONTRATO TDUSeptiembre2026</v>
          </cell>
          <cell r="E16944" t="e">
            <v>#N/A</v>
          </cell>
        </row>
        <row r="16945">
          <cell r="D16945" t="str">
            <v>CONTRATO EXPSeptiembre2026</v>
          </cell>
          <cell r="E16945" t="e">
            <v>#N/A</v>
          </cell>
        </row>
        <row r="16946">
          <cell r="D16946" t="str">
            <v>CONTRATO EXPSeptiembre2026</v>
          </cell>
          <cell r="E16946" t="e">
            <v>#N/A</v>
          </cell>
        </row>
        <row r="16947">
          <cell r="D16947" t="str">
            <v>CONTRATO EXPSeptiembre2026</v>
          </cell>
          <cell r="E16947" t="e">
            <v>#N/A</v>
          </cell>
        </row>
        <row r="16948">
          <cell r="D16948" t="str">
            <v>CONTRATO EXPSeptiembre2026</v>
          </cell>
          <cell r="E16948" t="e">
            <v>#N/A</v>
          </cell>
        </row>
        <row r="16949">
          <cell r="D16949" t="str">
            <v>CONTRATO EXPSeptiembre2026</v>
          </cell>
          <cell r="E16949" t="e">
            <v>#N/A</v>
          </cell>
        </row>
        <row r="16950">
          <cell r="D16950" t="str">
            <v>CONTRATO EXPSeptiembre2026</v>
          </cell>
          <cell r="E16950" t="e">
            <v>#N/A</v>
          </cell>
        </row>
        <row r="16951">
          <cell r="D16951" t="str">
            <v>CONTRATO EXPSeptiembre2026</v>
          </cell>
          <cell r="E16951" t="e">
            <v>#N/A</v>
          </cell>
        </row>
        <row r="16952">
          <cell r="D16952" t="str">
            <v>CONTRATO EXPSeptiembre2026</v>
          </cell>
          <cell r="E16952" t="e">
            <v>#N/A</v>
          </cell>
        </row>
        <row r="16953">
          <cell r="D16953" t="str">
            <v>CONTRATO EXPSeptiembre2026</v>
          </cell>
          <cell r="E16953" t="e">
            <v>#N/A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6"/>
  <sheetViews>
    <sheetView tabSelected="1" topLeftCell="A398" workbookViewId="0">
      <selection activeCell="C426" sqref="C426"/>
    </sheetView>
  </sheetViews>
  <sheetFormatPr baseColWidth="10" defaultRowHeight="14.4" x14ac:dyDescent="0.3"/>
  <cols>
    <col min="1" max="2" width="11.5546875" style="15"/>
    <col min="3" max="3" width="34.109375" style="15" bestFit="1" customWidth="1"/>
    <col min="4" max="4" width="24" style="15" bestFit="1" customWidth="1"/>
    <col min="5" max="5" width="23.5546875" bestFit="1" customWidth="1"/>
  </cols>
  <sheetData>
    <row r="1" spans="1:5" x14ac:dyDescent="0.3">
      <c r="A1" s="6" t="s">
        <v>166</v>
      </c>
      <c r="B1" s="5" t="s">
        <v>165</v>
      </c>
      <c r="C1" s="5" t="s">
        <v>164</v>
      </c>
      <c r="D1" s="4" t="s">
        <v>167</v>
      </c>
      <c r="E1" s="4" t="s">
        <v>203</v>
      </c>
    </row>
    <row r="2" spans="1:5" s="1" customFormat="1" x14ac:dyDescent="0.3">
      <c r="A2" s="10" t="s">
        <v>163</v>
      </c>
      <c r="B2" s="9" t="s">
        <v>0</v>
      </c>
      <c r="C2" s="11" t="str">
        <f>VLOOKUP(A2&amp;TEXT(D2,"mmmm")&amp;YEAR(D2),'[1]Detalle C-Fecha'!$D:$E,2,FALSE)</f>
        <v>CCU_MZA - Comp. Cerv. Unidas - MZA</v>
      </c>
      <c r="D2" s="7">
        <v>46067.166489895833</v>
      </c>
      <c r="E2" s="19"/>
    </row>
    <row r="3" spans="1:5" s="1" customFormat="1" x14ac:dyDescent="0.3">
      <c r="A3" s="10" t="s">
        <v>162</v>
      </c>
      <c r="B3" s="9" t="s">
        <v>0</v>
      </c>
      <c r="C3" s="11" t="str">
        <f>VLOOKUP(A3&amp;TEXT(D3,"mmmm")&amp;YEAR(D3),'[1]Detalle C-Fecha'!$D:$E,2,FALSE)</f>
        <v>CENCO_MZ - Cencosud SA - Mendoza</v>
      </c>
      <c r="D3" s="7">
        <v>46147</v>
      </c>
      <c r="E3" s="19"/>
    </row>
    <row r="4" spans="1:5" s="1" customFormat="1" x14ac:dyDescent="0.3">
      <c r="A4" s="10" t="s">
        <v>161</v>
      </c>
      <c r="B4" s="9" t="s">
        <v>0</v>
      </c>
      <c r="C4" s="11" t="str">
        <f>VLOOKUP(A4&amp;TEXT(D4,"mmmm")&amp;YEAR(D4),'[1]Detalle C-Fecha'!$D:$E,2,FALSE)</f>
        <v>JOHNSON - SC JOHNSON DE ARGENTINA SAIC</v>
      </c>
      <c r="D4" s="7">
        <v>46103.662970671299</v>
      </c>
      <c r="E4" s="19"/>
    </row>
    <row r="5" spans="1:5" s="1" customFormat="1" x14ac:dyDescent="0.3">
      <c r="A5" s="10" t="s">
        <v>30</v>
      </c>
      <c r="B5" s="9" t="s">
        <v>0</v>
      </c>
      <c r="C5" s="11" t="str">
        <f>VLOOKUP(A5&amp;TEXT(D5,"mmmm")&amp;YEAR(D5),'[1]Detalle C-Fecha'!$D:$E,2,FALSE)</f>
        <v>CENCO_MZ - Cencosud SA - Mendoza</v>
      </c>
      <c r="D5" s="7">
        <v>46027.079597071759</v>
      </c>
      <c r="E5" s="19"/>
    </row>
    <row r="6" spans="1:5" s="1" customFormat="1" x14ac:dyDescent="0.3">
      <c r="A6" s="10" t="s">
        <v>160</v>
      </c>
      <c r="B6" s="9" t="s">
        <v>0</v>
      </c>
      <c r="C6" s="11" t="str">
        <f>VLOOKUP(A6&amp;TEXT(D6,"mmmm")&amp;YEAR(D6),'[1]Detalle C-Fecha'!$D:$E,2,FALSE)</f>
        <v>Papelera - Papelera del Plata S.A.</v>
      </c>
      <c r="D6" s="7">
        <v>46143.758046724543</v>
      </c>
      <c r="E6" s="19"/>
    </row>
    <row r="7" spans="1:5" s="1" customFormat="1" x14ac:dyDescent="0.3">
      <c r="A7" s="10" t="s">
        <v>159</v>
      </c>
      <c r="B7" s="9" t="s">
        <v>0</v>
      </c>
      <c r="C7" s="11" t="str">
        <f>VLOOKUP(A7&amp;TEXT(D7,"mmmm")&amp;YEAR(D7),'[1]Detalle C-Fecha'!$D:$E,2,FALSE)</f>
        <v>CCUCoAZA</v>
      </c>
      <c r="D7" s="7">
        <v>46125.563309999998</v>
      </c>
      <c r="E7" s="19"/>
    </row>
    <row r="8" spans="1:5" s="1" customFormat="1" x14ac:dyDescent="0.3">
      <c r="A8" s="10" t="s">
        <v>69</v>
      </c>
      <c r="B8" s="9" t="s">
        <v>0</v>
      </c>
      <c r="C8" s="11" t="str">
        <f>VLOOKUP(A8&amp;TEXT(D8,"mmmm")&amp;YEAR(D8),'[1]Detalle C-Fecha'!$D:$E,2,FALSE)</f>
        <v>SUC_ROS - Sucursal Rosario</v>
      </c>
      <c r="D8" s="7">
        <v>46143.123362141203</v>
      </c>
      <c r="E8" s="19"/>
    </row>
    <row r="9" spans="1:5" s="1" customFormat="1" x14ac:dyDescent="0.3">
      <c r="A9" s="10" t="s">
        <v>68</v>
      </c>
      <c r="B9" s="9" t="s">
        <v>0</v>
      </c>
      <c r="C9" s="11" t="str">
        <f>VLOOKUP(A9&amp;TEXT(D9,"mmmm")&amp;YEAR(D9),'[1]Detalle C-Fecha'!$D:$E,2,FALSE)</f>
        <v>SUC_SRA - Sucursal San Rafael</v>
      </c>
      <c r="D9" s="7">
        <v>46025.509827337963</v>
      </c>
      <c r="E9" s="19"/>
    </row>
    <row r="10" spans="1:5" s="1" customFormat="1" x14ac:dyDescent="0.3">
      <c r="A10" s="10" t="s">
        <v>158</v>
      </c>
      <c r="B10" s="9" t="s">
        <v>0</v>
      </c>
      <c r="C10" s="11" t="str">
        <f>VLOOKUP(A10&amp;TEXT(D10,"mmmm")&amp;YEAR(D10),'[1]Detalle C-Fecha'!$D:$E,2,FALSE)</f>
        <v>SUC_MEN - Sucursal Mendoza</v>
      </c>
      <c r="D10" s="7">
        <v>46080.072749085652</v>
      </c>
      <c r="E10" s="19"/>
    </row>
    <row r="11" spans="1:5" s="1" customFormat="1" x14ac:dyDescent="0.3">
      <c r="A11" s="10" t="s">
        <v>157</v>
      </c>
      <c r="B11" s="9" t="s">
        <v>0</v>
      </c>
      <c r="C11" s="11" t="str">
        <f>VLOOKUP(A11&amp;TEXT(D11,"mmmm")&amp;YEAR(D11),'[1]Detalle C-Fecha'!$D:$E,2,FALSE)</f>
        <v>SUC_CTC - Sucursal Buenos Aires</v>
      </c>
      <c r="D11" s="7">
        <v>46098.242478171298</v>
      </c>
      <c r="E11" s="19"/>
    </row>
    <row r="12" spans="1:5" s="1" customFormat="1" x14ac:dyDescent="0.3">
      <c r="A12" s="10" t="s">
        <v>55</v>
      </c>
      <c r="B12" s="9" t="s">
        <v>0</v>
      </c>
      <c r="C12" s="11" t="str">
        <f>VLOOKUP(A12&amp;TEXT(D12,"mmmm")&amp;YEAR(D12),'[1]Detalle C-Fecha'!$D:$E,2,FALSE)</f>
        <v>SUC_SLU - Sucursal San Luis</v>
      </c>
      <c r="D12" s="7">
        <v>46025.075263368053</v>
      </c>
      <c r="E12" s="19"/>
    </row>
    <row r="13" spans="1:5" s="1" customFormat="1" x14ac:dyDescent="0.3">
      <c r="A13" s="10" t="s">
        <v>54</v>
      </c>
      <c r="B13" s="9" t="s">
        <v>0</v>
      </c>
      <c r="C13" s="11" t="str">
        <f>VLOOKUP(A13&amp;TEXT(D13,"mmmm")&amp;YEAR(D13),'[1]Detalle C-Fecha'!$D:$E,2,FALSE)</f>
        <v>SUC_MEN - Sucursal Mendoza</v>
      </c>
      <c r="D13" s="7">
        <v>46071.232024606477</v>
      </c>
      <c r="E13" s="19"/>
    </row>
    <row r="14" spans="1:5" s="1" customFormat="1" x14ac:dyDescent="0.3">
      <c r="A14" s="10" t="s">
        <v>156</v>
      </c>
      <c r="B14" s="9" t="s">
        <v>0</v>
      </c>
      <c r="C14" s="11" t="str">
        <f>VLOOKUP(A14&amp;TEXT(D14,"mmmm")&amp;YEAR(D14),'[1]Detalle C-Fecha'!$D:$E,2,FALSE)</f>
        <v>LlaveLay</v>
      </c>
      <c r="D14" s="7">
        <v>46094.718436226853</v>
      </c>
      <c r="E14" s="19"/>
    </row>
    <row r="15" spans="1:5" s="1" customFormat="1" x14ac:dyDescent="0.3">
      <c r="A15" s="10" t="s">
        <v>155</v>
      </c>
      <c r="B15" s="9" t="s">
        <v>0</v>
      </c>
      <c r="C15" s="11" t="str">
        <f>VLOOKUP(A15&amp;TEXT(D15,"mmmm")&amp;YEAR(D15),'[1]Detalle C-Fecha'!$D:$E,2,FALSE)</f>
        <v>SUC_CTC - Sucursal Buenos Aires</v>
      </c>
      <c r="D15" s="7">
        <v>46047</v>
      </c>
      <c r="E15" s="19"/>
    </row>
    <row r="16" spans="1:5" s="1" customFormat="1" x14ac:dyDescent="0.3">
      <c r="A16" s="10" t="s">
        <v>154</v>
      </c>
      <c r="B16" s="9" t="s">
        <v>0</v>
      </c>
      <c r="C16" s="11" t="str">
        <f>VLOOKUP(A16&amp;TEXT(D16,"mmmm")&amp;YEAR(D16),'[1]Detalle C-Fecha'!$D:$E,2,FALSE)</f>
        <v>Papelera - Papelera del Plata S.A.</v>
      </c>
      <c r="D16" s="7">
        <v>46159.281312581021</v>
      </c>
      <c r="E16" s="19"/>
    </row>
    <row r="17" spans="1:5" s="1" customFormat="1" x14ac:dyDescent="0.3">
      <c r="A17" s="10" t="s">
        <v>41</v>
      </c>
      <c r="B17" s="9" t="s">
        <v>0</v>
      </c>
      <c r="C17" s="11" t="str">
        <f>VLOOKUP(A17&amp;TEXT(D17,"mmmm")&amp;YEAR(D17),'[1]Detalle C-Fecha'!$D:$E,2,FALSE)</f>
        <v>CENCO_SJ - Cencosud SA - San Juan</v>
      </c>
      <c r="D17" s="7">
        <v>46062.199777372683</v>
      </c>
      <c r="E17" s="19"/>
    </row>
    <row r="18" spans="1:5" s="1" customFormat="1" x14ac:dyDescent="0.3">
      <c r="A18" s="10" t="s">
        <v>153</v>
      </c>
      <c r="B18" s="9" t="s">
        <v>0</v>
      </c>
      <c r="C18" s="11" t="str">
        <f>VLOOKUP(A18&amp;TEXT(D18,"mmmm")&amp;YEAR(D18),'[1]Detalle C-Fecha'!$D:$E,2,FALSE)</f>
        <v>Papelera - Papelera del Plata S.A.</v>
      </c>
      <c r="D18" s="7">
        <v>46097.008739953701</v>
      </c>
      <c r="E18" s="19"/>
    </row>
    <row r="19" spans="1:5" s="1" customFormat="1" x14ac:dyDescent="0.3">
      <c r="A19" s="10" t="s">
        <v>152</v>
      </c>
      <c r="B19" s="9" t="s">
        <v>0</v>
      </c>
      <c r="C19" s="11" t="str">
        <f>VLOOKUP(A19&amp;TEXT(D19,"mmmm")&amp;YEAR(D19),'[1]Detalle C-Fecha'!$D:$E,2,FALSE)</f>
        <v>Expreso - Servicios Troncales</v>
      </c>
      <c r="D19" s="7">
        <v>46048.376136053237</v>
      </c>
      <c r="E19" s="19"/>
    </row>
    <row r="20" spans="1:5" s="1" customFormat="1" x14ac:dyDescent="0.3">
      <c r="A20" s="10" t="s">
        <v>151</v>
      </c>
      <c r="B20" s="9" t="s">
        <v>0</v>
      </c>
      <c r="C20" s="11" t="str">
        <f>VLOOKUP(A20&amp;TEXT(D20,"mmmm")&amp;YEAR(D20),'[1]Detalle C-Fecha'!$D:$E,2,FALSE)</f>
        <v>Papelera - Papelera del Plata S.A.</v>
      </c>
      <c r="D20" s="7">
        <v>46122.956155335647</v>
      </c>
      <c r="E20" s="19"/>
    </row>
    <row r="21" spans="1:5" s="1" customFormat="1" x14ac:dyDescent="0.3">
      <c r="A21" s="10" t="s">
        <v>150</v>
      </c>
      <c r="B21" s="9" t="s">
        <v>0</v>
      </c>
      <c r="C21" s="11" t="str">
        <f>VLOOKUP(A21&amp;TEXT(D21,"mmmm")&amp;YEAR(D21),'[1]Detalle C-Fecha'!$D:$E,2,FALSE)</f>
        <v>JOHNSON - SC JOHNSON DE ARGENTINA SAIC</v>
      </c>
      <c r="D21" s="7">
        <v>46097.790174479167</v>
      </c>
      <c r="E21" s="19"/>
    </row>
    <row r="22" spans="1:5" s="1" customFormat="1" x14ac:dyDescent="0.3">
      <c r="A22" s="10" t="s">
        <v>149</v>
      </c>
      <c r="B22" s="9" t="s">
        <v>0</v>
      </c>
      <c r="C22" s="11" t="str">
        <f>VLOOKUP(A22&amp;TEXT(D22,"mmmm")&amp;YEAR(D22),'[1]Detalle C-Fecha'!$D:$E,2,FALSE)</f>
        <v>Unilever - Unilever de Arg. S.A.</v>
      </c>
      <c r="D22" s="7">
        <v>46118.374118993059</v>
      </c>
      <c r="E22" s="19"/>
    </row>
    <row r="23" spans="1:5" s="1" customFormat="1" x14ac:dyDescent="0.3">
      <c r="A23" s="10" t="s">
        <v>148</v>
      </c>
      <c r="B23" s="9" t="s">
        <v>0</v>
      </c>
      <c r="C23" s="11" t="str">
        <f>VLOOKUP(A23&amp;TEXT(D23,"mmmm")&amp;YEAR(D23),'[1]Detalle C-Fecha'!$D:$E,2,FALSE)</f>
        <v>Papelera - Papelera del Plata S.A.</v>
      </c>
      <c r="D23" s="7">
        <v>46107.433141712972</v>
      </c>
      <c r="E23" s="19"/>
    </row>
    <row r="24" spans="1:5" s="1" customFormat="1" x14ac:dyDescent="0.3">
      <c r="A24" s="10" t="s">
        <v>147</v>
      </c>
      <c r="B24" s="9" t="s">
        <v>0</v>
      </c>
      <c r="C24" s="11" t="str">
        <f>VLOOKUP(A24&amp;TEXT(D24,"mmmm")&amp;YEAR(D24),'[1]Detalle C-Fecha'!$D:$E,2,FALSE)</f>
        <v>CENCO_MZ - Cencosud SA - Mendoza</v>
      </c>
      <c r="D24" s="7">
        <v>46147</v>
      </c>
      <c r="E24" s="19"/>
    </row>
    <row r="25" spans="1:5" s="1" customFormat="1" x14ac:dyDescent="0.3">
      <c r="A25" s="10" t="s">
        <v>146</v>
      </c>
      <c r="B25" s="9" t="s">
        <v>0</v>
      </c>
      <c r="C25" s="11" t="str">
        <f>VLOOKUP(A25&amp;TEXT(D25,"mmmm")&amp;YEAR(D25),'[1]Detalle C-Fecha'!$D:$E,2,FALSE)</f>
        <v>Papelera - Papelera del Plata S.A.</v>
      </c>
      <c r="D25" s="7">
        <v>46077.899806817128</v>
      </c>
      <c r="E25" s="19"/>
    </row>
    <row r="26" spans="1:5" s="1" customFormat="1" x14ac:dyDescent="0.3">
      <c r="A26" s="10" t="s">
        <v>145</v>
      </c>
      <c r="B26" s="9" t="s">
        <v>0</v>
      </c>
      <c r="C26" s="11" t="str">
        <f>VLOOKUP(A26&amp;TEXT(D26,"mmmm")&amp;YEAR(D26),'[1]Detalle C-Fecha'!$D:$E,2,FALSE)</f>
        <v>Unilever - Unilever de Arg. S.A.</v>
      </c>
      <c r="D26" s="7">
        <v>46138.229628067129</v>
      </c>
      <c r="E26" s="19"/>
    </row>
    <row r="27" spans="1:5" s="1" customFormat="1" x14ac:dyDescent="0.3">
      <c r="A27" s="10" t="s">
        <v>33</v>
      </c>
      <c r="B27" s="9" t="s">
        <v>0</v>
      </c>
      <c r="C27" s="11" t="str">
        <f>VLOOKUP(A27&amp;TEXT(D27,"mmmm")&amp;YEAR(D27),'[1]Detalle C-Fecha'!$D:$E,2,FALSE)</f>
        <v>SUC_MEN - Sucursal Mendoza</v>
      </c>
      <c r="D27" s="7">
        <v>46110.030902141203</v>
      </c>
      <c r="E27" s="19"/>
    </row>
    <row r="28" spans="1:5" s="1" customFormat="1" x14ac:dyDescent="0.3">
      <c r="A28" s="10" t="s">
        <v>144</v>
      </c>
      <c r="B28" s="9" t="s">
        <v>0</v>
      </c>
      <c r="C28" s="11" t="str">
        <f>VLOOKUP(A28&amp;TEXT(D28,"mmmm")&amp;YEAR(D28),'[1]Detalle C-Fecha'!$D:$E,2,FALSE)</f>
        <v>Topacio</v>
      </c>
      <c r="D28" s="7">
        <v>46063.813340416673</v>
      </c>
      <c r="E28" s="19"/>
    </row>
    <row r="29" spans="1:5" s="1" customFormat="1" x14ac:dyDescent="0.3">
      <c r="A29" s="10" t="s">
        <v>143</v>
      </c>
      <c r="B29" s="9" t="s">
        <v>0</v>
      </c>
      <c r="C29" s="11" t="str">
        <f>VLOOKUP(A29&amp;TEXT(D29,"mmmm")&amp;YEAR(D29),'[1]Detalle C-Fecha'!$D:$E,2,FALSE)</f>
        <v>CCU_MZA - Comp. Cerv. Unidas - MZA</v>
      </c>
      <c r="D29" s="7">
        <v>46114.034982418983</v>
      </c>
      <c r="E29" s="19"/>
    </row>
    <row r="30" spans="1:5" s="1" customFormat="1" x14ac:dyDescent="0.3">
      <c r="A30" s="10" t="s">
        <v>42</v>
      </c>
      <c r="B30" s="9" t="s">
        <v>0</v>
      </c>
      <c r="C30" s="11" t="str">
        <f>VLOOKUP(A30&amp;TEXT(D30,"mmmm")&amp;YEAR(D30),'[1]Detalle C-Fecha'!$D:$E,2,FALSE)</f>
        <v>CENCOMLD - Cencosud SA - Mendoza</v>
      </c>
      <c r="D30" s="7">
        <v>46064.981309317132</v>
      </c>
      <c r="E30" s="19"/>
    </row>
    <row r="31" spans="1:5" s="1" customFormat="1" x14ac:dyDescent="0.3">
      <c r="A31" s="10" t="s">
        <v>141</v>
      </c>
      <c r="B31" s="9" t="s">
        <v>0</v>
      </c>
      <c r="C31" s="11" t="str">
        <f>VLOOKUP(A31&amp;TEXT(D31,"mmmm")&amp;YEAR(D31),'[1]Detalle C-Fecha'!$D:$E,2,FALSE)</f>
        <v>CENCO_MZ - Cencosud SA - Mendoza</v>
      </c>
      <c r="D31" s="7">
        <v>46147</v>
      </c>
      <c r="E31" s="19"/>
    </row>
    <row r="32" spans="1:5" s="1" customFormat="1" x14ac:dyDescent="0.3">
      <c r="A32" s="10" t="s">
        <v>140</v>
      </c>
      <c r="B32" s="9" t="s">
        <v>0</v>
      </c>
      <c r="C32" s="11" t="str">
        <f>VLOOKUP(A32&amp;TEXT(D32,"mmmm")&amp;YEAR(D32),'[1]Detalle C-Fecha'!$D:$E,2,FALSE)</f>
        <v>CMQ_TTE - QUILMES TTE</v>
      </c>
      <c r="D32" s="7">
        <v>46099.857948564822</v>
      </c>
      <c r="E32" s="19"/>
    </row>
    <row r="33" spans="1:5" s="1" customFormat="1" x14ac:dyDescent="0.3">
      <c r="A33" s="10" t="s">
        <v>104</v>
      </c>
      <c r="B33" s="9" t="s">
        <v>0</v>
      </c>
      <c r="C33" s="11" t="str">
        <f>VLOOKUP(A33&amp;TEXT(D33,"mmmm")&amp;YEAR(D33),'[1]Detalle C-Fecha'!$D:$E,2,FALSE)</f>
        <v>ADA_CH - Danone Arg. S.A. - Chascomus</v>
      </c>
      <c r="D33" s="7">
        <v>46092.429158981482</v>
      </c>
      <c r="E33" s="19"/>
    </row>
    <row r="34" spans="1:5" s="1" customFormat="1" x14ac:dyDescent="0.3">
      <c r="A34" s="10" t="s">
        <v>139</v>
      </c>
      <c r="B34" s="9" t="s">
        <v>0</v>
      </c>
      <c r="C34" s="11" t="str">
        <f>VLOOKUP(A34&amp;TEXT(D34,"mmmm")&amp;YEAR(D34),'[1]Detalle C-Fecha'!$D:$E,2,FALSE)</f>
        <v>ADA_CH - Danone Arg. S.A. - Chascomus</v>
      </c>
      <c r="D34" s="7">
        <v>46038.686967499998</v>
      </c>
      <c r="E34" s="19"/>
    </row>
    <row r="35" spans="1:5" s="1" customFormat="1" x14ac:dyDescent="0.3">
      <c r="A35" s="10" t="s">
        <v>65</v>
      </c>
      <c r="B35" s="9" t="s">
        <v>0</v>
      </c>
      <c r="C35" s="11" t="str">
        <f>VLOOKUP(A35&amp;TEXT(D35,"mmmm")&amp;YEAR(D35),'[1]Detalle C-Fecha'!$D:$E,2,FALSE)</f>
        <v>ADA_CH - Danone Arg. S.A. - Chascomus</v>
      </c>
      <c r="D35" s="7">
        <v>46089.101605717588</v>
      </c>
      <c r="E35" s="19"/>
    </row>
    <row r="36" spans="1:5" s="1" customFormat="1" x14ac:dyDescent="0.3">
      <c r="A36" s="10" t="s">
        <v>138</v>
      </c>
      <c r="B36" s="9" t="s">
        <v>0</v>
      </c>
      <c r="C36" s="11" t="str">
        <f>VLOOKUP(A36&amp;TEXT(D36,"mmmm")&amp;YEAR(D36),'[1]Detalle C-Fecha'!$D:$E,2,FALSE)</f>
        <v>Arcor S.A.I.C.</v>
      </c>
      <c r="D36" s="7">
        <v>46119.026554293981</v>
      </c>
      <c r="E36" s="19"/>
    </row>
    <row r="37" spans="1:5" s="1" customFormat="1" x14ac:dyDescent="0.3">
      <c r="A37" s="10" t="s">
        <v>29</v>
      </c>
      <c r="B37" s="9" t="s">
        <v>0</v>
      </c>
      <c r="C37" s="11" t="str">
        <f>VLOOKUP(A37&amp;TEXT(D37,"mmmm")&amp;YEAR(D37),'[1]Detalle C-Fecha'!$D:$E,2,FALSE)</f>
        <v>Arcor S.A.I.C.</v>
      </c>
      <c r="D37" s="7">
        <v>46167.679438819447</v>
      </c>
      <c r="E37" s="19"/>
    </row>
    <row r="38" spans="1:5" s="1" customFormat="1" x14ac:dyDescent="0.3">
      <c r="A38" s="10" t="s">
        <v>28</v>
      </c>
      <c r="B38" s="9" t="s">
        <v>0</v>
      </c>
      <c r="C38" s="11" t="str">
        <f>VLOOKUP(A38&amp;TEXT(D38,"mmmm")&amp;YEAR(D38),'[1]Detalle C-Fecha'!$D:$E,2,FALSE)</f>
        <v>CENCOMLD - Cencosud SA - Mendoza</v>
      </c>
      <c r="D38" s="7">
        <v>46038.854376805553</v>
      </c>
      <c r="E38" s="19"/>
    </row>
    <row r="39" spans="1:5" s="1" customFormat="1" x14ac:dyDescent="0.3">
      <c r="A39" s="10" t="s">
        <v>26</v>
      </c>
      <c r="B39" s="9" t="s">
        <v>0</v>
      </c>
      <c r="C39" s="11" t="str">
        <f>VLOOKUP(A39&amp;TEXT(D39,"mmmm")&amp;YEAR(D39),'[1]Detalle C-Fecha'!$D:$E,2,FALSE)</f>
        <v>CENCOMLD - Cencosud SA - Mendoza</v>
      </c>
      <c r="D39" s="7">
        <v>46034.515366921303</v>
      </c>
      <c r="E39" s="19"/>
    </row>
    <row r="40" spans="1:5" s="1" customFormat="1" x14ac:dyDescent="0.3">
      <c r="A40" s="10" t="s">
        <v>137</v>
      </c>
      <c r="B40" s="9" t="s">
        <v>0</v>
      </c>
      <c r="C40" s="11" t="str">
        <f>VLOOKUP(A40&amp;TEXT(D40,"mmmm")&amp;YEAR(D40),'[1]Detalle C-Fecha'!$D:$E,2,FALSE)</f>
        <v>CENCOMLD - Cencosud SA - Mendoza</v>
      </c>
      <c r="D40" s="7">
        <v>46054.350939027783</v>
      </c>
      <c r="E40" s="19"/>
    </row>
    <row r="41" spans="1:5" s="1" customFormat="1" x14ac:dyDescent="0.3">
      <c r="A41" s="10" t="s">
        <v>25</v>
      </c>
      <c r="B41" s="9" t="s">
        <v>0</v>
      </c>
      <c r="C41" s="11" t="str">
        <f>VLOOKUP(A41&amp;TEXT(D41,"mmmm")&amp;YEAR(D41),'[1]Detalle C-Fecha'!$D:$E,2,FALSE)</f>
        <v>CENCOMLD - Cencosud SA - Mendoza</v>
      </c>
      <c r="D41" s="7">
        <v>46083.686493148147</v>
      </c>
      <c r="E41" s="19"/>
    </row>
    <row r="42" spans="1:5" s="1" customFormat="1" x14ac:dyDescent="0.3">
      <c r="A42" s="10" t="s">
        <v>136</v>
      </c>
      <c r="B42" s="9" t="s">
        <v>0</v>
      </c>
      <c r="C42" s="11" t="str">
        <f>VLOOKUP(A42&amp;TEXT(D42,"mmmm")&amp;YEAR(D42),'[1]Detalle C-Fecha'!$D:$E,2,FALSE)</f>
        <v>Expreso - Servicios Troncales</v>
      </c>
      <c r="D42" s="7">
        <v>46033.016176851852</v>
      </c>
      <c r="E42" s="19"/>
    </row>
    <row r="43" spans="1:5" s="1" customFormat="1" x14ac:dyDescent="0.3">
      <c r="A43" s="10" t="s">
        <v>129</v>
      </c>
      <c r="B43" s="9" t="s">
        <v>0</v>
      </c>
      <c r="C43" s="11" t="str">
        <f>VLOOKUP(A43&amp;TEXT(D43,"mmmm")&amp;YEAR(D43),'[1]Detalle C-Fecha'!$D:$E,2,FALSE)</f>
        <v>Expreso - Servicios Troncales</v>
      </c>
      <c r="D43" s="7">
        <v>46045.984588553241</v>
      </c>
      <c r="E43" s="19"/>
    </row>
    <row r="44" spans="1:5" s="1" customFormat="1" x14ac:dyDescent="0.3">
      <c r="A44" s="10" t="s">
        <v>22</v>
      </c>
      <c r="B44" s="9" t="s">
        <v>0</v>
      </c>
      <c r="C44" s="11" t="str">
        <f>VLOOKUP(A44&amp;TEXT(D44,"mmmm")&amp;YEAR(D44),'[1]Detalle C-Fecha'!$D:$E,2,FALSE)</f>
        <v>Expreso - Servicios Troncales</v>
      </c>
      <c r="D44" s="7">
        <v>46053.086362349539</v>
      </c>
      <c r="E44" s="19"/>
    </row>
    <row r="45" spans="1:5" s="1" customFormat="1" x14ac:dyDescent="0.3">
      <c r="A45" s="10" t="s">
        <v>135</v>
      </c>
      <c r="B45" s="9" t="s">
        <v>0</v>
      </c>
      <c r="C45" s="11" t="str">
        <f>VLOOKUP(A45&amp;TEXT(D45,"mmmm")&amp;YEAR(D45),'[1]Detalle C-Fecha'!$D:$E,2,FALSE)</f>
        <v>Expreso - Servicios Troncales</v>
      </c>
      <c r="D45" s="7">
        <v>46154.363602569443</v>
      </c>
      <c r="E45" s="19"/>
    </row>
    <row r="46" spans="1:5" s="1" customFormat="1" x14ac:dyDescent="0.3">
      <c r="A46" s="10" t="s">
        <v>134</v>
      </c>
      <c r="B46" s="9" t="s">
        <v>0</v>
      </c>
      <c r="C46" s="11" t="str">
        <f>VLOOKUP(A46&amp;TEXT(D46,"mmmm")&amp;YEAR(D46),'[1]Detalle C-Fecha'!$D:$E,2,FALSE)</f>
        <v>JOHNSON - SC JOHNSON DE ARGENTINA SAIC</v>
      </c>
      <c r="D46" s="7">
        <v>46082.337259479173</v>
      </c>
      <c r="E46" s="19"/>
    </row>
    <row r="47" spans="1:5" s="1" customFormat="1" x14ac:dyDescent="0.3">
      <c r="A47" s="10" t="s">
        <v>133</v>
      </c>
      <c r="B47" s="9" t="s">
        <v>0</v>
      </c>
      <c r="C47" s="11" t="str">
        <f>VLOOKUP(A47&amp;TEXT(D47,"mmmm")&amp;YEAR(D47),'[1]Detalle C-Fecha'!$D:$E,2,FALSE)</f>
        <v>ADA_CH - Danone Arg. S.A. - Chascomus</v>
      </c>
      <c r="D47" s="7">
        <v>46117.147522627318</v>
      </c>
      <c r="E47" s="19"/>
    </row>
    <row r="48" spans="1:5" s="1" customFormat="1" x14ac:dyDescent="0.3">
      <c r="A48" s="10" t="s">
        <v>18</v>
      </c>
      <c r="B48" s="9" t="s">
        <v>0</v>
      </c>
      <c r="C48" s="11" t="str">
        <f>VLOOKUP(A48&amp;TEXT(D48,"mmmm")&amp;YEAR(D48),'[1]Detalle C-Fecha'!$D:$E,2,FALSE)</f>
        <v>ADA_CH - Danone Arg. S.A. - Chascomus</v>
      </c>
      <c r="D48" s="7">
        <v>46115.9296846875</v>
      </c>
      <c r="E48" s="19"/>
    </row>
    <row r="49" spans="1:5" s="1" customFormat="1" x14ac:dyDescent="0.3">
      <c r="A49" s="10" t="s">
        <v>84</v>
      </c>
      <c r="B49" s="9" t="s">
        <v>0</v>
      </c>
      <c r="C49" s="11" t="str">
        <f>VLOOKUP(A49&amp;TEXT(D49,"mmmm")&amp;YEAR(D49),'[1]Detalle C-Fecha'!$D:$E,2,FALSE)</f>
        <v>ADA_CH - Danone Arg. S.A. - Chascomus</v>
      </c>
      <c r="D49" s="7">
        <v>46061.115350925917</v>
      </c>
      <c r="E49" s="19"/>
    </row>
    <row r="50" spans="1:5" s="1" customFormat="1" x14ac:dyDescent="0.3">
      <c r="A50" s="10" t="s">
        <v>17</v>
      </c>
      <c r="B50" s="9" t="s">
        <v>0</v>
      </c>
      <c r="C50" s="11" t="str">
        <f>VLOOKUP(A50&amp;TEXT(D50,"mmmm")&amp;YEAR(D50),'[1]Detalle C-Fecha'!$D:$E,2,FALSE)</f>
        <v>ADA_CH - Danone Arg. S.A. - Chascomus</v>
      </c>
      <c r="D50" s="7">
        <v>46035.791149895827</v>
      </c>
      <c r="E50" s="19"/>
    </row>
    <row r="51" spans="1:5" s="1" customFormat="1" x14ac:dyDescent="0.3">
      <c r="A51" s="10" t="s">
        <v>16</v>
      </c>
      <c r="B51" s="9" t="s">
        <v>0</v>
      </c>
      <c r="C51" s="11" t="str">
        <f>VLOOKUP(A51&amp;TEXT(D51,"mmmm")&amp;YEAR(D51),'[1]Detalle C-Fecha'!$D:$E,2,FALSE)</f>
        <v>ADA_CH - Danone Arg. S.A. - Chascomus</v>
      </c>
      <c r="D51" s="7">
        <v>46035.378207164351</v>
      </c>
      <c r="E51" s="19"/>
    </row>
    <row r="52" spans="1:5" s="1" customFormat="1" x14ac:dyDescent="0.3">
      <c r="A52" s="10" t="s">
        <v>14</v>
      </c>
      <c r="B52" s="9" t="s">
        <v>0</v>
      </c>
      <c r="C52" s="11" t="str">
        <f>VLOOKUP(A52&amp;TEXT(D52,"mmmm")&amp;YEAR(D52),'[1]Detalle C-Fecha'!$D:$E,2,FALSE)</f>
        <v>ADA_CH - Danone Arg. S.A. - Chascomus</v>
      </c>
      <c r="D52" s="7">
        <v>46045.896408194443</v>
      </c>
      <c r="E52" s="19"/>
    </row>
    <row r="53" spans="1:5" s="1" customFormat="1" x14ac:dyDescent="0.3">
      <c r="A53" s="10" t="s">
        <v>128</v>
      </c>
      <c r="B53" s="9" t="s">
        <v>0</v>
      </c>
      <c r="C53" s="11" t="str">
        <f>VLOOKUP(A53&amp;TEXT(D53,"mmmm")&amp;YEAR(D53),'[1]Detalle C-Fecha'!$D:$E,2,FALSE)</f>
        <v>ADA_CH - Danone Arg. S.A. - Chascomus</v>
      </c>
      <c r="D53" s="7">
        <v>46067.14487358796</v>
      </c>
      <c r="E53" s="19"/>
    </row>
    <row r="54" spans="1:5" s="1" customFormat="1" x14ac:dyDescent="0.3">
      <c r="A54" s="10" t="s">
        <v>13</v>
      </c>
      <c r="B54" s="9" t="s">
        <v>0</v>
      </c>
      <c r="C54" s="11" t="str">
        <f>VLOOKUP(A54&amp;TEXT(D54,"mmmm")&amp;YEAR(D54),'[1]Detalle C-Fecha'!$D:$E,2,FALSE)</f>
        <v>ADA_CH - Danone Arg. S.A. - Chascomus</v>
      </c>
      <c r="D54" s="7">
        <v>46053.150087581023</v>
      </c>
      <c r="E54" s="19"/>
    </row>
    <row r="55" spans="1:5" s="1" customFormat="1" x14ac:dyDescent="0.3">
      <c r="A55" s="10" t="s">
        <v>82</v>
      </c>
      <c r="B55" s="9" t="s">
        <v>0</v>
      </c>
      <c r="C55" s="11" t="str">
        <f>VLOOKUP(A55&amp;TEXT(D55,"mmmm")&amp;YEAR(D55),'[1]Detalle C-Fecha'!$D:$E,2,FALSE)</f>
        <v>ADA_CH - Danone Arg. S.A. - Chascomus</v>
      </c>
      <c r="D55" s="7">
        <v>46032.103932916667</v>
      </c>
      <c r="E55" s="19"/>
    </row>
    <row r="56" spans="1:5" s="1" customFormat="1" x14ac:dyDescent="0.3">
      <c r="A56" s="10" t="s">
        <v>11</v>
      </c>
      <c r="B56" s="9" t="s">
        <v>0</v>
      </c>
      <c r="C56" s="11" t="str">
        <f>VLOOKUP(A56&amp;TEXT(D56,"mmmm")&amp;YEAR(D56),'[1]Detalle C-Fecha'!$D:$E,2,FALSE)</f>
        <v>Expreso - Servicios Troncales</v>
      </c>
      <c r="D56" s="7">
        <v>46025.528161215283</v>
      </c>
      <c r="E56" s="19"/>
    </row>
    <row r="57" spans="1:5" s="1" customFormat="1" x14ac:dyDescent="0.3">
      <c r="A57" s="10" t="s">
        <v>10</v>
      </c>
      <c r="B57" s="9" t="s">
        <v>0</v>
      </c>
      <c r="C57" s="11" t="str">
        <f>VLOOKUP(A57&amp;TEXT(D57,"mmmm")&amp;YEAR(D57),'[1]Detalle C-Fecha'!$D:$E,2,FALSE)</f>
        <v>Expreso - Servicios Troncales</v>
      </c>
      <c r="D57" s="7">
        <v>46038.753533101852</v>
      </c>
      <c r="E57" s="19"/>
    </row>
    <row r="58" spans="1:5" s="1" customFormat="1" x14ac:dyDescent="0.3">
      <c r="A58" s="10" t="s">
        <v>9</v>
      </c>
      <c r="B58" s="9" t="s">
        <v>0</v>
      </c>
      <c r="C58" s="11" t="str">
        <f>VLOOKUP(A58&amp;TEXT(D58,"mmmm")&amp;YEAR(D58),'[1]Detalle C-Fecha'!$D:$E,2,FALSE)</f>
        <v>Expreso - Servicios Troncales</v>
      </c>
      <c r="D58" s="7">
        <v>46102.470871678241</v>
      </c>
      <c r="E58" s="19"/>
    </row>
    <row r="59" spans="1:5" s="1" customFormat="1" x14ac:dyDescent="0.3">
      <c r="A59" s="10" t="s">
        <v>21</v>
      </c>
      <c r="B59" s="9" t="s">
        <v>0</v>
      </c>
      <c r="C59" s="11" t="str">
        <f>VLOOKUP(A59&amp;TEXT(D59,"mmmm")&amp;YEAR(D59),'[1]Detalle C-Fecha'!$D:$E,2,FALSE)</f>
        <v>Expreso - Servicios Troncales</v>
      </c>
      <c r="D59" s="7">
        <v>46056.589041099527</v>
      </c>
      <c r="E59" s="19"/>
    </row>
    <row r="60" spans="1:5" s="1" customFormat="1" x14ac:dyDescent="0.3">
      <c r="A60" s="10" t="s">
        <v>132</v>
      </c>
      <c r="B60" s="9" t="s">
        <v>0</v>
      </c>
      <c r="C60" s="11" t="str">
        <f>VLOOKUP(A60&amp;TEXT(D60,"mmmm")&amp;YEAR(D60),'[1]Detalle C-Fecha'!$D:$E,2,FALSE)</f>
        <v>Expreso - Servicios Troncales</v>
      </c>
      <c r="D60" s="7">
        <v>46056.589041099527</v>
      </c>
      <c r="E60" s="19"/>
    </row>
    <row r="61" spans="1:5" s="1" customFormat="1" x14ac:dyDescent="0.3">
      <c r="A61" s="10" t="s">
        <v>8</v>
      </c>
      <c r="B61" s="9" t="s">
        <v>0</v>
      </c>
      <c r="C61" s="11" t="str">
        <f>VLOOKUP(A61&amp;TEXT(D61,"mmmm")&amp;YEAR(D61),'[1]Detalle C-Fecha'!$D:$E,2,FALSE)</f>
        <v>Expreso - Servicios Troncales</v>
      </c>
      <c r="D61" s="7">
        <v>46146.238627418978</v>
      </c>
      <c r="E61" s="19"/>
    </row>
    <row r="62" spans="1:5" s="1" customFormat="1" x14ac:dyDescent="0.3">
      <c r="A62" s="10" t="s">
        <v>7</v>
      </c>
      <c r="B62" s="9" t="s">
        <v>0</v>
      </c>
      <c r="C62" s="11" t="str">
        <f>VLOOKUP(A62&amp;TEXT(D62,"mmmm")&amp;YEAR(D62),'[1]Detalle C-Fecha'!$D:$E,2,FALSE)</f>
        <v>Expreso - Servicios Troncales</v>
      </c>
      <c r="D62" s="7">
        <v>46075.930993009257</v>
      </c>
      <c r="E62" s="19"/>
    </row>
    <row r="63" spans="1:5" s="1" customFormat="1" x14ac:dyDescent="0.3">
      <c r="A63" s="10" t="s">
        <v>5</v>
      </c>
      <c r="B63" s="9" t="s">
        <v>0</v>
      </c>
      <c r="C63" s="11" t="str">
        <f>VLOOKUP(A63&amp;TEXT(D63,"mmmm")&amp;YEAR(D63),'[1]Detalle C-Fecha'!$D:$E,2,FALSE)</f>
        <v>Expreso - Servicios Troncales</v>
      </c>
      <c r="D63" s="7">
        <v>46039.030366678242</v>
      </c>
      <c r="E63" s="19"/>
    </row>
    <row r="64" spans="1:5" s="1" customFormat="1" x14ac:dyDescent="0.3">
      <c r="A64" s="10" t="s">
        <v>4</v>
      </c>
      <c r="B64" s="9" t="s">
        <v>0</v>
      </c>
      <c r="C64" s="11" t="str">
        <f>VLOOKUP(A64&amp;TEXT(D64,"mmmm")&amp;YEAR(D64),'[1]Detalle C-Fecha'!$D:$E,2,FALSE)</f>
        <v>Expreso - Servicios Troncales</v>
      </c>
      <c r="D64" s="7">
        <v>46024.38854177083</v>
      </c>
      <c r="E64" s="19"/>
    </row>
    <row r="65" spans="1:5" s="1" customFormat="1" x14ac:dyDescent="0.3">
      <c r="A65" s="10" t="s">
        <v>131</v>
      </c>
      <c r="B65" s="9" t="s">
        <v>0</v>
      </c>
      <c r="C65" s="11" t="str">
        <f>VLOOKUP(A65&amp;TEXT(D65,"mmmm")&amp;YEAR(D65),'[1]Detalle C-Fecha'!$D:$E,2,FALSE)</f>
        <v>Expreso - Servicios Troncales</v>
      </c>
      <c r="D65" s="7">
        <v>46044.200929652783</v>
      </c>
      <c r="E65" s="19"/>
    </row>
    <row r="66" spans="1:5" s="1" customFormat="1" x14ac:dyDescent="0.3">
      <c r="A66" s="10" t="s">
        <v>130</v>
      </c>
      <c r="B66" s="9" t="s">
        <v>0</v>
      </c>
      <c r="C66" s="11" t="str">
        <f>VLOOKUP(A66&amp;TEXT(D66,"mmmm")&amp;YEAR(D66),'[1]Detalle C-Fecha'!$D:$E,2,FALSE)</f>
        <v>Expreso - Servicios Troncales</v>
      </c>
      <c r="D66" s="7">
        <v>46032.816731203697</v>
      </c>
      <c r="E66" s="19"/>
    </row>
    <row r="67" spans="1:5" s="1" customFormat="1" x14ac:dyDescent="0.3">
      <c r="A67" s="10" t="s">
        <v>3</v>
      </c>
      <c r="B67" s="9" t="s">
        <v>0</v>
      </c>
      <c r="C67" s="11" t="str">
        <f>VLOOKUP(A67&amp;TEXT(D67,"mmmm")&amp;YEAR(D67),'[1]Detalle C-Fecha'!$D:$E,2,FALSE)</f>
        <v>Expreso - Servicios Troncales</v>
      </c>
      <c r="D67" s="7">
        <v>46032.312325879633</v>
      </c>
      <c r="E67" s="19"/>
    </row>
    <row r="68" spans="1:5" s="1" customFormat="1" x14ac:dyDescent="0.3">
      <c r="A68" s="10" t="s">
        <v>12</v>
      </c>
      <c r="B68" s="9" t="s">
        <v>0</v>
      </c>
      <c r="C68" s="11" t="str">
        <f>VLOOKUP(A68&amp;TEXT(D68,"mmmm")&amp;YEAR(D68),'[1]Detalle C-Fecha'!$D:$E,2,FALSE)</f>
        <v>CENCOMLD - Cencosud SA - Mendoza</v>
      </c>
      <c r="D68" s="7">
        <v>46034.848669976847</v>
      </c>
      <c r="E68" s="19"/>
    </row>
    <row r="69" spans="1:5" s="1" customFormat="1" x14ac:dyDescent="0.3">
      <c r="A69" s="10" t="s">
        <v>30</v>
      </c>
      <c r="B69" s="9" t="s">
        <v>0</v>
      </c>
      <c r="C69" s="11" t="str">
        <f>VLOOKUP(A69&amp;TEXT(D69,"mmmm")&amp;YEAR(D69),'[1]Detalle C-Fecha'!$D:$E,2,FALSE)</f>
        <v>CENCO_MZ - Cencosud SA - Mendoza</v>
      </c>
      <c r="D69" s="7">
        <v>46107.159194131942</v>
      </c>
      <c r="E69" s="19"/>
    </row>
    <row r="70" spans="1:5" s="1" customFormat="1" x14ac:dyDescent="0.3">
      <c r="A70" s="10" t="s">
        <v>129</v>
      </c>
      <c r="B70" s="9" t="s">
        <v>0</v>
      </c>
      <c r="C70" s="11" t="str">
        <f>VLOOKUP(A70&amp;TEXT(D70,"mmmm")&amp;YEAR(D70),'[1]Detalle C-Fecha'!$D:$E,2,FALSE)</f>
        <v>Expreso - Servicios Troncales</v>
      </c>
      <c r="D70" s="7">
        <v>46144.969177118059</v>
      </c>
      <c r="E70" s="19"/>
    </row>
    <row r="71" spans="1:5" s="1" customFormat="1" x14ac:dyDescent="0.3">
      <c r="A71" s="10" t="s">
        <v>84</v>
      </c>
      <c r="B71" s="9" t="s">
        <v>0</v>
      </c>
      <c r="C71" s="11" t="str">
        <f>VLOOKUP(A71&amp;TEXT(D71,"mmmm")&amp;YEAR(D71),'[1]Detalle C-Fecha'!$D:$E,2,FALSE)</f>
        <v>ADA_CH - Danone Arg. S.A. - Chascomus</v>
      </c>
      <c r="D71" s="7">
        <v>46153.967763379631</v>
      </c>
      <c r="E71" s="19"/>
    </row>
    <row r="72" spans="1:5" s="1" customFormat="1" x14ac:dyDescent="0.3">
      <c r="A72" s="10" t="s">
        <v>14</v>
      </c>
      <c r="B72" s="9" t="s">
        <v>0</v>
      </c>
      <c r="C72" s="11" t="str">
        <f>VLOOKUP(A72&amp;TEXT(D72,"mmmm")&amp;YEAR(D72),'[1]Detalle C-Fecha'!$D:$E,2,FALSE)</f>
        <v>ADA_CH - Danone Arg. S.A. - Chascomus</v>
      </c>
      <c r="D72" s="7">
        <v>46144.792816388886</v>
      </c>
      <c r="E72" s="19"/>
    </row>
    <row r="73" spans="1:5" s="1" customFormat="1" x14ac:dyDescent="0.3">
      <c r="A73" s="10" t="s">
        <v>128</v>
      </c>
      <c r="B73" s="9" t="s">
        <v>0</v>
      </c>
      <c r="C73" s="11" t="str">
        <f>VLOOKUP(A73&amp;TEXT(D73,"mmmm")&amp;YEAR(D73),'[1]Detalle C-Fecha'!$D:$E,2,FALSE)</f>
        <v>ADA_CH - Danone Arg. S.A. - Chascomus</v>
      </c>
      <c r="D73" s="7">
        <v>46164.910626597222</v>
      </c>
      <c r="E73" s="19"/>
    </row>
    <row r="74" spans="1:5" s="1" customFormat="1" x14ac:dyDescent="0.3">
      <c r="A74" s="10" t="s">
        <v>13</v>
      </c>
      <c r="B74" s="9" t="s">
        <v>0</v>
      </c>
      <c r="C74" s="11" t="str">
        <f>VLOOKUP(A74&amp;TEXT(D74,"mmmm")&amp;YEAR(D74),'[1]Detalle C-Fecha'!$D:$E,2,FALSE)</f>
        <v>ADA_CH - Danone Arg. S.A. - Chascomus</v>
      </c>
      <c r="D74" s="7">
        <v>46159.30017516204</v>
      </c>
      <c r="E74" s="19"/>
    </row>
    <row r="75" spans="1:5" s="1" customFormat="1" x14ac:dyDescent="0.3">
      <c r="A75" s="10" t="s">
        <v>82</v>
      </c>
      <c r="B75" s="9" t="s">
        <v>0</v>
      </c>
      <c r="C75" s="11" t="str">
        <f>VLOOKUP(A75&amp;TEXT(D75,"mmmm")&amp;YEAR(D75),'[1]Detalle C-Fecha'!$D:$E,2,FALSE)</f>
        <v>ADA_CH - Danone Arg. S.A. - Chascomus</v>
      </c>
      <c r="D75" s="7">
        <v>46117.207865833327</v>
      </c>
      <c r="E75" s="19"/>
    </row>
    <row r="76" spans="1:5" s="1" customFormat="1" x14ac:dyDescent="0.3">
      <c r="A76" s="10" t="s">
        <v>11</v>
      </c>
      <c r="B76" s="9" t="s">
        <v>0</v>
      </c>
      <c r="C76" s="11" t="str">
        <f>VLOOKUP(A76&amp;TEXT(D76,"mmmm")&amp;YEAR(D76),'[1]Detalle C-Fecha'!$D:$E,2,FALSE)</f>
        <v>Expreso - Servicios Troncales</v>
      </c>
      <c r="D76" s="7">
        <v>46104.056322430559</v>
      </c>
      <c r="E76" s="19"/>
    </row>
    <row r="77" spans="1:5" s="1" customFormat="1" x14ac:dyDescent="0.3">
      <c r="A77" s="10" t="s">
        <v>10</v>
      </c>
      <c r="B77" s="9" t="s">
        <v>0</v>
      </c>
      <c r="C77" s="11" t="str">
        <f>VLOOKUP(A77&amp;TEXT(D77,"mmmm")&amp;YEAR(D77),'[1]Detalle C-Fecha'!$D:$E,2,FALSE)</f>
        <v>Expreso - Servicios Troncales</v>
      </c>
      <c r="D77" s="7">
        <v>46117.485006967603</v>
      </c>
      <c r="E77" s="19"/>
    </row>
    <row r="78" spans="1:5" s="1" customFormat="1" x14ac:dyDescent="0.3">
      <c r="A78" s="10" t="s">
        <v>60</v>
      </c>
      <c r="B78" s="9" t="s">
        <v>0</v>
      </c>
      <c r="C78" s="11" t="str">
        <f>VLOOKUP(A78&amp;TEXT(D78,"mmmm")&amp;YEAR(D78),'[1]Detalle C-Fecha'!$D:$E,2,FALSE)</f>
        <v>SUC_MAL - Sucursal Malargüe</v>
      </c>
      <c r="D78" s="7">
        <v>46042</v>
      </c>
      <c r="E78" s="19"/>
    </row>
    <row r="79" spans="1:5" s="1" customFormat="1" x14ac:dyDescent="0.3">
      <c r="A79" s="10" t="s">
        <v>68</v>
      </c>
      <c r="B79" s="9" t="s">
        <v>0</v>
      </c>
      <c r="C79" s="11" t="str">
        <f>VLOOKUP(A79&amp;TEXT(D79,"mmmm")&amp;YEAR(D79),'[1]Detalle C-Fecha'!$D:$E,2,FALSE)</f>
        <v>SUC_SRA - Sucursal San Rafael</v>
      </c>
      <c r="D79" s="7">
        <v>46044</v>
      </c>
      <c r="E79" s="19"/>
    </row>
    <row r="80" spans="1:5" s="1" customFormat="1" x14ac:dyDescent="0.3">
      <c r="A80" s="10" t="s">
        <v>127</v>
      </c>
      <c r="B80" s="9" t="s">
        <v>0</v>
      </c>
      <c r="C80" s="11" t="str">
        <f>VLOOKUP(A80&amp;TEXT(D80,"mmmm")&amp;YEAR(D80),'[1]Detalle C-Fecha'!$D:$E,2,FALSE)</f>
        <v>CENCO_MZ - Cencosud SA - Mendoza</v>
      </c>
      <c r="D80" s="7">
        <v>46046</v>
      </c>
      <c r="E80" s="19"/>
    </row>
    <row r="81" spans="1:5" s="1" customFormat="1" x14ac:dyDescent="0.3">
      <c r="A81" s="10" t="s">
        <v>126</v>
      </c>
      <c r="B81" s="9" t="s">
        <v>0</v>
      </c>
      <c r="C81" s="11" t="str">
        <f>VLOOKUP(A81&amp;TEXT(D81,"mmmm")&amp;YEAR(D81),'[1]Detalle C-Fecha'!$D:$E,2,FALSE)</f>
        <v>CENCO_MZ - Cencosud SA - Mendoza</v>
      </c>
      <c r="D81" s="7">
        <v>46053</v>
      </c>
      <c r="E81" s="19"/>
    </row>
    <row r="82" spans="1:5" s="1" customFormat="1" x14ac:dyDescent="0.3">
      <c r="A82" s="10" t="s">
        <v>98</v>
      </c>
      <c r="B82" s="9" t="s">
        <v>0</v>
      </c>
      <c r="C82" s="11" t="str">
        <f>VLOOKUP(A82&amp;TEXT(D82,"mmmm")&amp;YEAR(D82),'[1]Detalle C-Fecha'!$D:$E,2,FALSE)</f>
        <v>SUC_REA - Sucursal Realicó</v>
      </c>
      <c r="D82" s="7">
        <v>46058</v>
      </c>
      <c r="E82" s="19"/>
    </row>
    <row r="83" spans="1:5" s="1" customFormat="1" x14ac:dyDescent="0.3">
      <c r="A83" s="10" t="s">
        <v>125</v>
      </c>
      <c r="B83" s="9" t="s">
        <v>0</v>
      </c>
      <c r="C83" s="11" t="str">
        <f>VLOOKUP(A83&amp;TEXT(D83,"mmmm")&amp;YEAR(D83),'[1]Detalle C-Fecha'!$D:$E,2,FALSE)</f>
        <v>CMQ_TTE - QUILMES TTE</v>
      </c>
      <c r="D83" s="7">
        <v>46064</v>
      </c>
      <c r="E83" s="19"/>
    </row>
    <row r="84" spans="1:5" s="1" customFormat="1" x14ac:dyDescent="0.3">
      <c r="A84" s="10" t="s">
        <v>122</v>
      </c>
      <c r="B84" s="9" t="s">
        <v>0</v>
      </c>
      <c r="C84" s="11" t="str">
        <f>VLOOKUP(A84&amp;TEXT(D84,"mmmm")&amp;YEAR(D84),'[1]Detalle C-Fecha'!$D:$E,2,FALSE)</f>
        <v>CCUDyAZA</v>
      </c>
      <c r="D84" s="7">
        <v>46087</v>
      </c>
      <c r="E84" s="19"/>
    </row>
    <row r="85" spans="1:5" s="1" customFormat="1" x14ac:dyDescent="0.3">
      <c r="A85" s="10" t="s">
        <v>124</v>
      </c>
      <c r="B85" s="9" t="s">
        <v>0</v>
      </c>
      <c r="C85" s="11" t="str">
        <f>VLOOKUP(A85&amp;TEXT(D85,"mmmm")&amp;YEAR(D85),'[1]Detalle C-Fecha'!$D:$E,2,FALSE)</f>
        <v>CCUCoAZA</v>
      </c>
      <c r="D85" s="7">
        <v>46100</v>
      </c>
      <c r="E85" s="19"/>
    </row>
    <row r="86" spans="1:5" s="1" customFormat="1" x14ac:dyDescent="0.3">
      <c r="A86" s="10" t="s">
        <v>117</v>
      </c>
      <c r="B86" s="9" t="s">
        <v>0</v>
      </c>
      <c r="C86" s="11" t="str">
        <f>VLOOKUP(A86&amp;TEXT(D86,"mmmm")&amp;YEAR(D86),'[1]Detalle C-Fecha'!$D:$E,2,FALSE)</f>
        <v>CCUDyAZA</v>
      </c>
      <c r="D86" s="7">
        <v>46099</v>
      </c>
      <c r="E86" s="19"/>
    </row>
    <row r="87" spans="1:5" s="1" customFormat="1" x14ac:dyDescent="0.3">
      <c r="A87" s="10" t="s">
        <v>81</v>
      </c>
      <c r="B87" s="9" t="s">
        <v>0</v>
      </c>
      <c r="C87" s="11" t="str">
        <f>VLOOKUP(A87&amp;TEXT(D87,"mmmm")&amp;YEAR(D87),'[1]Detalle C-Fecha'!$D:$E,2,FALSE)</f>
        <v>Sin Operación</v>
      </c>
      <c r="D87" s="7">
        <v>46106</v>
      </c>
      <c r="E87" s="19"/>
    </row>
    <row r="88" spans="1:5" s="1" customFormat="1" x14ac:dyDescent="0.3">
      <c r="A88" s="10" t="s">
        <v>123</v>
      </c>
      <c r="B88" s="9" t="s">
        <v>0</v>
      </c>
      <c r="C88" s="11" t="str">
        <f>VLOOKUP(A88&amp;TEXT(D88,"mmmm")&amp;YEAR(D88),'[1]Detalle C-Fecha'!$D:$E,2,FALSE)</f>
        <v>CCUCoAZA</v>
      </c>
      <c r="D88" s="7">
        <v>46102</v>
      </c>
      <c r="E88" s="19"/>
    </row>
    <row r="89" spans="1:5" s="1" customFormat="1" x14ac:dyDescent="0.3">
      <c r="A89" s="10" t="s">
        <v>122</v>
      </c>
      <c r="B89" s="9" t="s">
        <v>0</v>
      </c>
      <c r="C89" s="11" t="str">
        <f>VLOOKUP(A89&amp;TEXT(D89,"mmmm")&amp;YEAR(D89),'[1]Detalle C-Fecha'!$D:$E,2,FALSE)</f>
        <v>CCUDyAZA</v>
      </c>
      <c r="D89" s="7">
        <v>46109</v>
      </c>
      <c r="E89" s="19"/>
    </row>
    <row r="90" spans="1:5" s="1" customFormat="1" x14ac:dyDescent="0.3">
      <c r="A90" s="10" t="s">
        <v>121</v>
      </c>
      <c r="B90" s="9" t="s">
        <v>0</v>
      </c>
      <c r="C90" s="11" t="str">
        <f>VLOOKUP(A90&amp;TEXT(D90,"mmmm")&amp;YEAR(D90),'[1]Detalle C-Fecha'!$D:$E,2,FALSE)</f>
        <v>CCUCoAZA</v>
      </c>
      <c r="D90" s="7">
        <v>46108</v>
      </c>
      <c r="E90" s="19"/>
    </row>
    <row r="91" spans="1:5" s="1" customFormat="1" x14ac:dyDescent="0.3">
      <c r="A91" s="10" t="s">
        <v>120</v>
      </c>
      <c r="B91" s="9" t="s">
        <v>0</v>
      </c>
      <c r="C91" s="11" t="str">
        <f>VLOOKUP(A91&amp;TEXT(D91,"mmmm")&amp;YEAR(D91),'[1]Detalle C-Fecha'!$D:$E,2,FALSE)</f>
        <v>CCUDyAZA</v>
      </c>
      <c r="D91" s="7">
        <v>46108</v>
      </c>
      <c r="E91" s="19"/>
    </row>
    <row r="92" spans="1:5" s="1" customFormat="1" x14ac:dyDescent="0.3">
      <c r="A92" s="10" t="s">
        <v>119</v>
      </c>
      <c r="B92" s="9" t="s">
        <v>0</v>
      </c>
      <c r="C92" s="11" t="str">
        <f>VLOOKUP(A92&amp;TEXT(D92,"mmmm")&amp;YEAR(D92),'[1]Detalle C-Fecha'!$D:$E,2,FALSE)</f>
        <v>Arcor S.A.I.C.</v>
      </c>
      <c r="D92" s="7">
        <v>46108</v>
      </c>
      <c r="E92" s="19"/>
    </row>
    <row r="93" spans="1:5" s="1" customFormat="1" x14ac:dyDescent="0.3">
      <c r="A93" s="10" t="s">
        <v>118</v>
      </c>
      <c r="B93" s="9" t="s">
        <v>0</v>
      </c>
      <c r="C93" s="11" t="str">
        <f>VLOOKUP(A93&amp;TEXT(D93,"mmmm")&amp;YEAR(D93),'[1]Detalle C-Fecha'!$D:$E,2,FALSE)</f>
        <v>SUC_SRA - Sucursal San Rafael</v>
      </c>
      <c r="D93" s="7">
        <v>46113</v>
      </c>
      <c r="E93" s="19"/>
    </row>
    <row r="94" spans="1:5" s="1" customFormat="1" x14ac:dyDescent="0.3">
      <c r="A94" s="10" t="s">
        <v>64</v>
      </c>
      <c r="B94" s="9" t="s">
        <v>0</v>
      </c>
      <c r="C94" s="11" t="str">
        <f>VLOOKUP(A94&amp;TEXT(D94,"mmmm")&amp;YEAR(D94),'[1]Detalle C-Fecha'!$D:$E,2,FALSE)</f>
        <v>CENCO_SJ - Cencosud SA - San Juan</v>
      </c>
      <c r="D94" s="7">
        <v>46113</v>
      </c>
      <c r="E94" s="19"/>
    </row>
    <row r="95" spans="1:5" s="1" customFormat="1" x14ac:dyDescent="0.3">
      <c r="A95" s="10" t="s">
        <v>117</v>
      </c>
      <c r="B95" s="9" t="s">
        <v>0</v>
      </c>
      <c r="C95" s="11" t="str">
        <f>VLOOKUP(A95&amp;TEXT(D95,"mmmm")&amp;YEAR(D95),'[1]Detalle C-Fecha'!$D:$E,2,FALSE)</f>
        <v>CCUDyAZA</v>
      </c>
      <c r="D95" s="7">
        <v>46115</v>
      </c>
      <c r="E95" s="19"/>
    </row>
    <row r="96" spans="1:5" s="1" customFormat="1" x14ac:dyDescent="0.3">
      <c r="A96" s="10" t="s">
        <v>116</v>
      </c>
      <c r="B96" s="9" t="s">
        <v>0</v>
      </c>
      <c r="C96" s="11" t="str">
        <f>VLOOKUP(A96&amp;TEXT(D96,"mmmm")&amp;YEAR(D96),'[1]Detalle C-Fecha'!$D:$E,2,FALSE)</f>
        <v>CMQ_TTE - QUILMES TTE</v>
      </c>
      <c r="D96" s="7">
        <v>46134</v>
      </c>
      <c r="E96" s="19"/>
    </row>
    <row r="97" spans="1:5" s="1" customFormat="1" x14ac:dyDescent="0.3">
      <c r="A97" s="10" t="s">
        <v>78</v>
      </c>
      <c r="B97" s="9" t="s">
        <v>0</v>
      </c>
      <c r="C97" s="11" t="str">
        <f>VLOOKUP(A97&amp;TEXT(D97,"mmmm")&amp;YEAR(D97),'[1]Detalle C-Fecha'!$D:$E,2,FALSE)</f>
        <v>Sin Operación</v>
      </c>
      <c r="D97" s="7">
        <v>46136</v>
      </c>
      <c r="E97" s="19"/>
    </row>
    <row r="98" spans="1:5" s="1" customFormat="1" x14ac:dyDescent="0.3">
      <c r="A98" s="10" t="s">
        <v>115</v>
      </c>
      <c r="B98" s="9" t="s">
        <v>0</v>
      </c>
      <c r="C98" s="11" t="str">
        <f>VLOOKUP(A98&amp;TEXT(D98,"mmmm")&amp;YEAR(D98),'[1]Detalle C-Fecha'!$D:$E,2,FALSE)</f>
        <v>CCU_MZA - Comp. Cerv. Unidas - MZA</v>
      </c>
      <c r="D98" s="7">
        <v>46150</v>
      </c>
      <c r="E98" s="19"/>
    </row>
    <row r="99" spans="1:5" s="1" customFormat="1" x14ac:dyDescent="0.3">
      <c r="A99" s="10" t="s">
        <v>92</v>
      </c>
      <c r="B99" s="9" t="s">
        <v>0</v>
      </c>
      <c r="C99" s="11" t="str">
        <f>VLOOKUP(A99&amp;TEXT(D99,"mmmm")&amp;YEAR(D99),'[1]Detalle C-Fecha'!$D:$E,2,FALSE)</f>
        <v>CCUDyAZA</v>
      </c>
      <c r="D99" s="7">
        <v>46150</v>
      </c>
      <c r="E99" s="19"/>
    </row>
    <row r="100" spans="1:5" s="1" customFormat="1" x14ac:dyDescent="0.3">
      <c r="A100" s="10" t="s">
        <v>94</v>
      </c>
      <c r="B100" s="9" t="s">
        <v>0</v>
      </c>
      <c r="C100" s="11" t="str">
        <f>VLOOKUP(A100&amp;TEXT(D100,"mmmm")&amp;YEAR(D100),'[1]Detalle C-Fecha'!$D:$E,2,FALSE)</f>
        <v>CCUDyAZA</v>
      </c>
      <c r="D100" s="7">
        <v>46151</v>
      </c>
      <c r="E100" s="19"/>
    </row>
    <row r="101" spans="1:5" s="1" customFormat="1" x14ac:dyDescent="0.3">
      <c r="A101" s="10" t="s">
        <v>72</v>
      </c>
      <c r="B101" s="9" t="s">
        <v>0</v>
      </c>
      <c r="C101" s="11" t="str">
        <f>VLOOKUP(A101&amp;TEXT(D101,"mmmm")&amp;YEAR(D101),'[1]Detalle C-Fecha'!$D:$E,2,FALSE)</f>
        <v>CENCOMLD - Cencosud SA - Mendoza</v>
      </c>
      <c r="D101" s="7">
        <v>46154</v>
      </c>
      <c r="E101" s="19"/>
    </row>
    <row r="102" spans="1:5" s="1" customFormat="1" x14ac:dyDescent="0.3">
      <c r="A102" s="10" t="s">
        <v>114</v>
      </c>
      <c r="B102" s="9" t="s">
        <v>0</v>
      </c>
      <c r="C102" s="11" t="str">
        <f>VLOOKUP(A102&amp;TEXT(D102,"mmmm")&amp;YEAR(D102),'[1]Detalle C-Fecha'!$D:$E,2,FALSE)</f>
        <v>CENCOMLD - Cencosud SA - Mendoza</v>
      </c>
      <c r="D102" s="7">
        <v>46155</v>
      </c>
      <c r="E102" s="19"/>
    </row>
    <row r="103" spans="1:5" s="1" customFormat="1" x14ac:dyDescent="0.3">
      <c r="A103" s="10" t="s">
        <v>20</v>
      </c>
      <c r="B103" s="9" t="s">
        <v>0</v>
      </c>
      <c r="C103" s="11" t="str">
        <f>VLOOKUP(A103&amp;TEXT(D103,"mmmm")&amp;YEAR(D103),'[1]Detalle C-Fecha'!$D:$E,2,FALSE)</f>
        <v>CENCOMLD - Cencosud SA - Mendoza</v>
      </c>
      <c r="D103" s="7">
        <v>46162</v>
      </c>
      <c r="E103" s="19"/>
    </row>
    <row r="104" spans="1:5" s="1" customFormat="1" x14ac:dyDescent="0.3">
      <c r="A104" s="10" t="s">
        <v>101</v>
      </c>
      <c r="B104" s="9" t="s">
        <v>0</v>
      </c>
      <c r="C104" s="11" t="str">
        <f>VLOOKUP(A104&amp;TEXT(D104,"mmmm")&amp;YEAR(D104),'[1]Detalle C-Fecha'!$D:$E,2,FALSE)</f>
        <v>CCUCoAZA</v>
      </c>
      <c r="D104" s="7">
        <v>46158</v>
      </c>
      <c r="E104" s="19"/>
    </row>
    <row r="105" spans="1:5" s="1" customFormat="1" x14ac:dyDescent="0.3">
      <c r="A105" s="10" t="s">
        <v>91</v>
      </c>
      <c r="B105" s="9" t="s">
        <v>0</v>
      </c>
      <c r="C105" s="11" t="str">
        <f>VLOOKUP(A105&amp;TEXT(D105,"mmmm")&amp;YEAR(D105),'[1]Detalle C-Fecha'!$D:$E,2,FALSE)</f>
        <v>CCUDyAZA</v>
      </c>
      <c r="D105" s="7">
        <v>46164</v>
      </c>
      <c r="E105" s="19"/>
    </row>
    <row r="106" spans="1:5" s="1" customFormat="1" x14ac:dyDescent="0.3">
      <c r="A106" s="10" t="s">
        <v>99</v>
      </c>
      <c r="B106" s="9" t="s">
        <v>0</v>
      </c>
      <c r="C106" s="11" t="str">
        <f>VLOOKUP(A106&amp;TEXT(D106,"mmmm")&amp;YEAR(D106),'[1]Detalle C-Fecha'!$D:$E,2,FALSE)</f>
        <v>CCUDyAZA</v>
      </c>
      <c r="D106" s="7">
        <v>46164</v>
      </c>
      <c r="E106" s="19"/>
    </row>
    <row r="107" spans="1:5" s="1" customFormat="1" x14ac:dyDescent="0.3">
      <c r="A107" s="10" t="s">
        <v>89</v>
      </c>
      <c r="B107" s="9" t="s">
        <v>0</v>
      </c>
      <c r="C107" s="11" t="str">
        <f>VLOOKUP(A107&amp;TEXT(D107,"mmmm")&amp;YEAR(D107),'[1]Detalle C-Fecha'!$D:$E,2,FALSE)</f>
        <v>CMQ_TTE - QUILMES TTE</v>
      </c>
      <c r="D107" s="7">
        <v>46165</v>
      </c>
      <c r="E107" s="19"/>
    </row>
    <row r="108" spans="1:5" s="1" customFormat="1" x14ac:dyDescent="0.3">
      <c r="A108" s="10" t="s">
        <v>90</v>
      </c>
      <c r="B108" s="9" t="s">
        <v>0</v>
      </c>
      <c r="C108" s="11" t="str">
        <f>VLOOKUP(A108&amp;TEXT(D108,"mmmm")&amp;YEAR(D108),'[1]Detalle C-Fecha'!$D:$E,2,FALSE)</f>
        <v>CMQ_TTE - QUILMES TTE</v>
      </c>
      <c r="D108" s="7">
        <v>46165</v>
      </c>
      <c r="E108" s="19"/>
    </row>
    <row r="109" spans="1:5" s="1" customFormat="1" x14ac:dyDescent="0.3">
      <c r="A109" s="10" t="s">
        <v>77</v>
      </c>
      <c r="B109" s="9" t="s">
        <v>0</v>
      </c>
      <c r="C109" s="11" t="str">
        <f>VLOOKUP(A109&amp;TEXT(D109,"mmmm")&amp;YEAR(D109),'[1]Detalle C-Fecha'!$D:$E,2,FALSE)</f>
        <v>Topacio</v>
      </c>
      <c r="D109" s="7">
        <v>46166</v>
      </c>
      <c r="E109" s="19"/>
    </row>
    <row r="110" spans="1:5" s="1" customFormat="1" x14ac:dyDescent="0.3">
      <c r="A110" s="10" t="s">
        <v>76</v>
      </c>
      <c r="B110" s="9" t="s">
        <v>0</v>
      </c>
      <c r="C110" s="11" t="str">
        <f>VLOOKUP(A110&amp;TEXT(D110,"mmmm")&amp;YEAR(D110),'[1]Detalle C-Fecha'!$D:$E,2,FALSE)</f>
        <v>Sin Operación</v>
      </c>
      <c r="D110" s="7">
        <v>46168</v>
      </c>
      <c r="E110" s="19"/>
    </row>
    <row r="111" spans="1:5" s="1" customFormat="1" x14ac:dyDescent="0.3">
      <c r="A111" s="10" t="s">
        <v>16</v>
      </c>
      <c r="B111" s="9" t="s">
        <v>0</v>
      </c>
      <c r="C111" s="11" t="str">
        <f>VLOOKUP(A111&amp;TEXT(D111,"mmmm")&amp;YEAR(D111),'[1]Detalle C-Fecha'!$D:$E,2,FALSE)</f>
        <v>ADA_CH - Danone Arg. S.A. - Chascomus</v>
      </c>
      <c r="D111" s="7">
        <v>46168</v>
      </c>
      <c r="E111" s="19"/>
    </row>
    <row r="112" spans="1:5" s="1" customFormat="1" x14ac:dyDescent="0.3">
      <c r="A112" s="10" t="s">
        <v>114</v>
      </c>
      <c r="B112" s="9" t="s">
        <v>0</v>
      </c>
      <c r="C112" s="11" t="str">
        <f>VLOOKUP(A112&amp;TEXT(D112,"mmmm")&amp;YEAR(D112),'[1]Detalle C-Fecha'!$D:$E,2,FALSE)</f>
        <v>CENCOMLD - Cencosud SA - Mendoza</v>
      </c>
      <c r="D112" s="7">
        <v>46058</v>
      </c>
      <c r="E112" s="19"/>
    </row>
    <row r="113" spans="1:5" s="1" customFormat="1" x14ac:dyDescent="0.3">
      <c r="A113" s="10" t="s">
        <v>113</v>
      </c>
      <c r="B113" s="9" t="s">
        <v>0</v>
      </c>
      <c r="C113" s="11" t="str">
        <f>VLOOKUP(A113&amp;TEXT(D113,"mmmm")&amp;YEAR(D113),'[1]Detalle C-Fecha'!$D:$E,2,FALSE)</f>
        <v>CMQ_TTE - QUILMES TTE</v>
      </c>
      <c r="D113" s="7">
        <v>46070</v>
      </c>
      <c r="E113" s="19"/>
    </row>
    <row r="114" spans="1:5" s="1" customFormat="1" x14ac:dyDescent="0.3">
      <c r="A114" s="10" t="s">
        <v>112</v>
      </c>
      <c r="B114" s="9" t="s">
        <v>0</v>
      </c>
      <c r="C114" s="11" t="str">
        <f>VLOOKUP(A114&amp;TEXT(D114,"mmmm")&amp;YEAR(D114),'[1]Detalle C-Fecha'!$D:$E,2,FALSE)</f>
        <v>CCUDyAZA</v>
      </c>
      <c r="D114" s="7">
        <v>46074</v>
      </c>
      <c r="E114" s="19"/>
    </row>
    <row r="115" spans="1:5" s="1" customFormat="1" ht="8.4" customHeight="1" x14ac:dyDescent="0.3">
      <c r="A115" s="10" t="s">
        <v>111</v>
      </c>
      <c r="B115" s="9" t="s">
        <v>0</v>
      </c>
      <c r="C115" s="11" t="str">
        <f>VLOOKUP(A115&amp;TEXT(D115,"mmmm")&amp;YEAR(D115),'[1]Detalle C-Fecha'!$D:$E,2,FALSE)</f>
        <v>Expreso - Servicios Troncales</v>
      </c>
      <c r="D115" s="7">
        <v>46108</v>
      </c>
      <c r="E115" s="19"/>
    </row>
    <row r="116" spans="1:5" s="1" customFormat="1" x14ac:dyDescent="0.3">
      <c r="A116" s="3" t="s">
        <v>61</v>
      </c>
      <c r="B116" s="9" t="s">
        <v>0</v>
      </c>
      <c r="C116" s="11" t="str">
        <f>VLOOKUP(A116&amp;TEXT(D116,"mmmm")&amp;YEAR(D116),'[1]Detalle C-Fecha'!$D:$E,2,FALSE)</f>
        <v>Sin Operación</v>
      </c>
      <c r="D116" s="7">
        <v>46024</v>
      </c>
      <c r="E116" s="19"/>
    </row>
    <row r="117" spans="1:5" s="1" customFormat="1" x14ac:dyDescent="0.3">
      <c r="A117" s="2" t="s">
        <v>57</v>
      </c>
      <c r="B117" s="9" t="s">
        <v>0</v>
      </c>
      <c r="C117" s="11" t="str">
        <f>VLOOKUP(A117&amp;TEXT(D117,"mmmm")&amp;YEAR(D117),'[1]Detalle C-Fecha'!$D:$E,2,FALSE)</f>
        <v>Sin Operación</v>
      </c>
      <c r="D117" s="7">
        <v>46055</v>
      </c>
      <c r="E117" s="19"/>
    </row>
    <row r="118" spans="1:5" s="1" customFormat="1" x14ac:dyDescent="0.3">
      <c r="A118" s="2" t="s">
        <v>109</v>
      </c>
      <c r="B118" s="9" t="s">
        <v>0</v>
      </c>
      <c r="C118" s="11" t="str">
        <f>VLOOKUP(A118&amp;TEXT(D118,"mmmm")&amp;YEAR(D118),'[1]Detalle C-Fecha'!$D:$E,2,FALSE)</f>
        <v>Sin Operación</v>
      </c>
      <c r="D118" s="7">
        <v>46055</v>
      </c>
      <c r="E118" s="19"/>
    </row>
    <row r="119" spans="1:5" s="1" customFormat="1" x14ac:dyDescent="0.3">
      <c r="A119" s="2" t="s">
        <v>53</v>
      </c>
      <c r="B119" s="9" t="s">
        <v>0</v>
      </c>
      <c r="C119" s="11" t="str">
        <f>VLOOKUP(A119&amp;TEXT(D119,"mmmm")&amp;YEAR(D119),'[1]Detalle C-Fecha'!$D:$E,2,FALSE)</f>
        <v>Sin Operación</v>
      </c>
      <c r="D119" s="7">
        <v>46085</v>
      </c>
      <c r="E119" s="19"/>
    </row>
    <row r="120" spans="1:5" s="1" customFormat="1" x14ac:dyDescent="0.3">
      <c r="A120" s="2" t="s">
        <v>52</v>
      </c>
      <c r="B120" s="9" t="s">
        <v>0</v>
      </c>
      <c r="C120" s="11" t="str">
        <f>VLOOKUP(A120&amp;TEXT(D120,"mmmm")&amp;YEAR(D120),'[1]Detalle C-Fecha'!$D:$E,2,FALSE)</f>
        <v>Sin Operación</v>
      </c>
      <c r="D120" s="7">
        <v>46038</v>
      </c>
      <c r="E120" s="19"/>
    </row>
    <row r="121" spans="1:5" s="1" customFormat="1" x14ac:dyDescent="0.3">
      <c r="A121" s="2" t="s">
        <v>50</v>
      </c>
      <c r="B121" s="9" t="s">
        <v>0</v>
      </c>
      <c r="C121" s="11" t="str">
        <f>VLOOKUP(A121&amp;TEXT(D121,"mmmm")&amp;YEAR(D121),'[1]Detalle C-Fecha'!$D:$E,2,FALSE)</f>
        <v>Sin Operación</v>
      </c>
      <c r="D121" s="7">
        <v>46055</v>
      </c>
      <c r="E121" s="19"/>
    </row>
    <row r="122" spans="1:5" s="1" customFormat="1" x14ac:dyDescent="0.3">
      <c r="A122" s="2" t="s">
        <v>49</v>
      </c>
      <c r="B122" s="9" t="s">
        <v>0</v>
      </c>
      <c r="C122" s="11" t="str">
        <f>VLOOKUP(A122&amp;TEXT(D122,"mmmm")&amp;YEAR(D122),'[1]Detalle C-Fecha'!$D:$E,2,FALSE)</f>
        <v>Sin Operación</v>
      </c>
      <c r="D122" s="7">
        <v>46055</v>
      </c>
      <c r="E122" s="19"/>
    </row>
    <row r="123" spans="1:5" s="1" customFormat="1" x14ac:dyDescent="0.3">
      <c r="A123" s="2" t="s">
        <v>48</v>
      </c>
      <c r="B123" s="9" t="s">
        <v>0</v>
      </c>
      <c r="C123" s="11" t="str">
        <f>VLOOKUP(A123&amp;TEXT(D123,"mmmm")&amp;YEAR(D123),'[1]Detalle C-Fecha'!$D:$E,2,FALSE)</f>
        <v>Sin Operación</v>
      </c>
      <c r="D123" s="7">
        <v>46170</v>
      </c>
      <c r="E123" s="19"/>
    </row>
    <row r="124" spans="1:5" s="1" customFormat="1" x14ac:dyDescent="0.3">
      <c r="A124" s="2" t="s">
        <v>32</v>
      </c>
      <c r="B124" s="9" t="s">
        <v>0</v>
      </c>
      <c r="C124" s="11" t="str">
        <f>VLOOKUP(A124&amp;TEXT(D124,"mmmm")&amp;YEAR(D124),'[1]Detalle C-Fecha'!$D:$E,2,FALSE)</f>
        <v>Sin Operación</v>
      </c>
      <c r="D124" s="7">
        <v>46094</v>
      </c>
      <c r="E124" s="19"/>
    </row>
    <row r="125" spans="1:5" s="1" customFormat="1" x14ac:dyDescent="0.3">
      <c r="A125" s="2" t="s">
        <v>31</v>
      </c>
      <c r="B125" s="9" t="s">
        <v>0</v>
      </c>
      <c r="C125" s="11" t="str">
        <f>VLOOKUP(A125&amp;TEXT(D125,"mmmm")&amp;YEAR(D125),'[1]Detalle C-Fecha'!$D:$E,2,FALSE)</f>
        <v>Sin Operación</v>
      </c>
      <c r="D125" s="7">
        <v>46116</v>
      </c>
      <c r="E125" s="19"/>
    </row>
    <row r="126" spans="1:5" s="1" customFormat="1" x14ac:dyDescent="0.3">
      <c r="A126" s="2" t="s">
        <v>108</v>
      </c>
      <c r="B126" s="9" t="s">
        <v>0</v>
      </c>
      <c r="C126" s="11" t="str">
        <f>VLOOKUP(A126&amp;TEXT(D126,"mmmm")&amp;YEAR(D126),'[1]Detalle C-Fecha'!$D:$E,2,FALSE)</f>
        <v>CMQ_TTE - QUILMES TTE</v>
      </c>
      <c r="D126" s="7">
        <v>46079</v>
      </c>
      <c r="E126" s="19"/>
    </row>
    <row r="127" spans="1:5" s="1" customFormat="1" x14ac:dyDescent="0.3">
      <c r="A127" s="2" t="s">
        <v>107</v>
      </c>
      <c r="B127" s="9" t="s">
        <v>0</v>
      </c>
      <c r="C127" s="11" t="str">
        <f>VLOOKUP(A127&amp;TEXT(D127,"mmmm")&amp;YEAR(D127),'[1]Detalle C-Fecha'!$D:$E,2,FALSE)</f>
        <v>Sin Operación</v>
      </c>
      <c r="D127" s="7">
        <v>46080</v>
      </c>
      <c r="E127" s="19"/>
    </row>
    <row r="128" spans="1:5" s="1" customFormat="1" x14ac:dyDescent="0.3">
      <c r="A128" s="2" t="s">
        <v>106</v>
      </c>
      <c r="B128" s="9" t="s">
        <v>0</v>
      </c>
      <c r="C128" s="11" t="str">
        <f>VLOOKUP(A128&amp;TEXT(D128,"mmmm")&amp;YEAR(D128),'[1]Detalle C-Fecha'!$D:$E,2,FALSE)</f>
        <v>CMQ_TTE - QUILMES TTE</v>
      </c>
      <c r="D128" s="7">
        <v>46152</v>
      </c>
      <c r="E128" s="19"/>
    </row>
    <row r="129" spans="1:5" s="1" customFormat="1" x14ac:dyDescent="0.3">
      <c r="A129" s="2" t="s">
        <v>2</v>
      </c>
      <c r="B129" s="9" t="s">
        <v>0</v>
      </c>
      <c r="C129" s="11" t="str">
        <f>VLOOKUP(A129&amp;TEXT(D129,"mmmm")&amp;YEAR(D129),'[1]Detalle C-Fecha'!$D:$E,2,FALSE)</f>
        <v>Expreso - Servicios Troncales</v>
      </c>
      <c r="D129" s="7">
        <v>46134</v>
      </c>
      <c r="E129" s="19"/>
    </row>
    <row r="130" spans="1:5" s="1" customFormat="1" x14ac:dyDescent="0.3">
      <c r="A130" s="2" t="s">
        <v>1</v>
      </c>
      <c r="B130" s="9" t="s">
        <v>0</v>
      </c>
      <c r="C130" s="11" t="str">
        <f>VLOOKUP(A130&amp;TEXT(D130,"mmmm")&amp;YEAR(D130),'[1]Detalle C-Fecha'!$D:$E,2,FALSE)</f>
        <v>Expreso - Servicios Troncales</v>
      </c>
      <c r="D130" s="7">
        <v>46047</v>
      </c>
      <c r="E130" s="19"/>
    </row>
    <row r="131" spans="1:5" x14ac:dyDescent="0.3">
      <c r="A131" s="12" t="s">
        <v>81</v>
      </c>
      <c r="B131" s="9" t="s">
        <v>0</v>
      </c>
      <c r="C131" s="11" t="str">
        <f>VLOOKUP(A131&amp;TEXT(D131,"mmmm")&amp;YEAR(D131),'[1]Detalle C-Fecha'!$D:$E,2,FALSE)</f>
        <v>Sin Operación</v>
      </c>
      <c r="D131" s="13">
        <v>46183</v>
      </c>
      <c r="E131" s="19"/>
    </row>
    <row r="132" spans="1:5" x14ac:dyDescent="0.3">
      <c r="A132" s="12" t="s">
        <v>105</v>
      </c>
      <c r="B132" s="9" t="s">
        <v>0</v>
      </c>
      <c r="C132" s="11" t="str">
        <f>VLOOKUP(A132&amp;TEXT(D132,"mmmm")&amp;YEAR(D132),'[1]Detalle C-Fecha'!$D:$E,2,FALSE)</f>
        <v>ADA_CH - Danone Arg. S.A. - Chascomus</v>
      </c>
      <c r="D132" s="13">
        <v>46183</v>
      </c>
      <c r="E132" s="19"/>
    </row>
    <row r="133" spans="1:5" x14ac:dyDescent="0.3">
      <c r="A133" s="12" t="s">
        <v>104</v>
      </c>
      <c r="B133" s="9" t="s">
        <v>0</v>
      </c>
      <c r="C133" s="11" t="str">
        <f>VLOOKUP(A133&amp;TEXT(D133,"mmmm")&amp;YEAR(D133),'[1]Detalle C-Fecha'!$D:$E,2,FALSE)</f>
        <v>ADA_CH - Danone Arg. S.A. - Chascomus</v>
      </c>
      <c r="D133" s="13">
        <v>46183</v>
      </c>
      <c r="E133" s="19"/>
    </row>
    <row r="134" spans="1:5" x14ac:dyDescent="0.3">
      <c r="A134" s="12" t="s">
        <v>78</v>
      </c>
      <c r="B134" s="9" t="s">
        <v>0</v>
      </c>
      <c r="C134" s="11" t="str">
        <f>VLOOKUP(A134&amp;TEXT(D134,"mmmm")&amp;YEAR(D134),'[1]Detalle C-Fecha'!$D:$E,2,FALSE)</f>
        <v>Sin Operación</v>
      </c>
      <c r="D134" s="13">
        <v>46183</v>
      </c>
      <c r="E134" s="19"/>
    </row>
    <row r="135" spans="1:5" x14ac:dyDescent="0.3">
      <c r="A135" s="12" t="s">
        <v>29</v>
      </c>
      <c r="B135" s="9" t="s">
        <v>0</v>
      </c>
      <c r="C135" s="11" t="str">
        <f>VLOOKUP(A135&amp;TEXT(D135,"mmmm")&amp;YEAR(D135),'[1]Detalle C-Fecha'!$D:$E,2,FALSE)</f>
        <v>Arcor S.A.I.C.</v>
      </c>
      <c r="D135" s="13">
        <v>46183</v>
      </c>
      <c r="E135" s="19"/>
    </row>
    <row r="136" spans="1:5" x14ac:dyDescent="0.3">
      <c r="A136" s="12" t="s">
        <v>23</v>
      </c>
      <c r="B136" s="9" t="s">
        <v>0</v>
      </c>
      <c r="C136" s="11" t="str">
        <f>VLOOKUP(A136&amp;TEXT(D136,"mmmm")&amp;YEAR(D136),'[1]Detalle C-Fecha'!$D:$E,2,FALSE)</f>
        <v>Unilever - Unilever de Arg. S.A.</v>
      </c>
      <c r="D136" s="13">
        <v>46183</v>
      </c>
      <c r="E136" s="19"/>
    </row>
    <row r="137" spans="1:5" x14ac:dyDescent="0.3">
      <c r="A137" s="12" t="s">
        <v>76</v>
      </c>
      <c r="B137" s="9" t="s">
        <v>0</v>
      </c>
      <c r="C137" s="11" t="str">
        <f>VLOOKUP(A137&amp;TEXT(D137,"mmmm")&amp;YEAR(D137),'[1]Detalle C-Fecha'!$D:$E,2,FALSE)</f>
        <v>Sin Operación</v>
      </c>
      <c r="D137" s="13">
        <v>46183</v>
      </c>
      <c r="E137" s="19"/>
    </row>
    <row r="138" spans="1:5" x14ac:dyDescent="0.3">
      <c r="A138" s="12" t="s">
        <v>103</v>
      </c>
      <c r="B138" s="9" t="s">
        <v>0</v>
      </c>
      <c r="C138" s="11" t="str">
        <f>VLOOKUP(A138&amp;TEXT(D138,"mmmm")&amp;YEAR(D138),'[1]Detalle C-Fecha'!$D:$E,2,FALSE)</f>
        <v>CCUCoAZA</v>
      </c>
      <c r="D138" s="13">
        <v>46183</v>
      </c>
      <c r="E138" s="19"/>
    </row>
    <row r="139" spans="1:5" x14ac:dyDescent="0.3">
      <c r="A139" s="12" t="s">
        <v>79</v>
      </c>
      <c r="B139" s="9" t="s">
        <v>0</v>
      </c>
      <c r="C139" s="11" t="str">
        <f>VLOOKUP(A139&amp;TEXT(D139,"mmmm")&amp;YEAR(D139),'[1]Detalle C-Fecha'!$D:$E,2,FALSE)</f>
        <v>Sin Operación</v>
      </c>
      <c r="D139" s="13">
        <v>46183</v>
      </c>
      <c r="E139" s="19"/>
    </row>
    <row r="140" spans="1:5" x14ac:dyDescent="0.3">
      <c r="A140" s="12" t="s">
        <v>72</v>
      </c>
      <c r="B140" s="9" t="s">
        <v>0</v>
      </c>
      <c r="C140" s="11" t="str">
        <f>VLOOKUP(A140&amp;TEXT(D140,"mmmm")&amp;YEAR(D140),'[1]Detalle C-Fecha'!$D:$E,2,FALSE)</f>
        <v>CENCOMLD - Cencosud SA - Mendoza</v>
      </c>
      <c r="D140" s="13">
        <v>46183</v>
      </c>
      <c r="E140" s="19"/>
    </row>
    <row r="141" spans="1:5" x14ac:dyDescent="0.3">
      <c r="A141" s="12" t="s">
        <v>102</v>
      </c>
      <c r="B141" s="9" t="s">
        <v>0</v>
      </c>
      <c r="C141" s="11" t="str">
        <f>VLOOKUP(A141&amp;TEXT(D141,"mmmm")&amp;YEAR(D141),'[1]Detalle C-Fecha'!$D:$E,2,FALSE)</f>
        <v>CCUCoAZA</v>
      </c>
      <c r="D141" s="13">
        <v>46188</v>
      </c>
      <c r="E141" s="19"/>
    </row>
    <row r="142" spans="1:5" x14ac:dyDescent="0.3">
      <c r="A142" s="12" t="s">
        <v>101</v>
      </c>
      <c r="B142" s="9" t="s">
        <v>0</v>
      </c>
      <c r="C142" s="11" t="str">
        <f>VLOOKUP(A142&amp;TEXT(D142,"mmmm")&amp;YEAR(D142),'[1]Detalle C-Fecha'!$D:$E,2,FALSE)</f>
        <v>CCUCoAZA</v>
      </c>
      <c r="D142" s="13">
        <v>46188</v>
      </c>
      <c r="E142" s="19"/>
    </row>
    <row r="143" spans="1:5" x14ac:dyDescent="0.3">
      <c r="A143" s="12" t="s">
        <v>100</v>
      </c>
      <c r="B143" s="9" t="s">
        <v>0</v>
      </c>
      <c r="C143" s="11" t="str">
        <f>VLOOKUP(A143&amp;TEXT(D143,"mmmm")&amp;YEAR(D143),'[1]Detalle C-Fecha'!$D:$E,2,FALSE)</f>
        <v>CCUCoAZA</v>
      </c>
      <c r="D143" s="13">
        <v>46188</v>
      </c>
      <c r="E143" s="19"/>
    </row>
    <row r="144" spans="1:5" x14ac:dyDescent="0.3">
      <c r="A144" s="12" t="s">
        <v>99</v>
      </c>
      <c r="B144" s="9" t="s">
        <v>0</v>
      </c>
      <c r="C144" s="11" t="str">
        <f>VLOOKUP(A144&amp;TEXT(D144,"mmmm")&amp;YEAR(D144),'[1]Detalle C-Fecha'!$D:$E,2,FALSE)</f>
        <v>CCUDyAZA</v>
      </c>
      <c r="D144" s="13">
        <v>46188</v>
      </c>
      <c r="E144" s="19"/>
    </row>
    <row r="145" spans="1:5" x14ac:dyDescent="0.3">
      <c r="A145" s="12" t="s">
        <v>68</v>
      </c>
      <c r="B145" s="9" t="s">
        <v>0</v>
      </c>
      <c r="C145" s="11" t="str">
        <f>VLOOKUP(A145&amp;TEXT(D145,"mmmm")&amp;YEAR(D145),'[1]Detalle C-Fecha'!$D:$E,2,FALSE)</f>
        <v>SUC_SRA - Sucursal San Rafael</v>
      </c>
      <c r="D145" s="13">
        <v>46188</v>
      </c>
      <c r="E145" s="19"/>
    </row>
    <row r="146" spans="1:5" x14ac:dyDescent="0.3">
      <c r="A146" s="12" t="s">
        <v>98</v>
      </c>
      <c r="B146" s="9" t="s">
        <v>0</v>
      </c>
      <c r="C146" s="11" t="str">
        <f>VLOOKUP(A146&amp;TEXT(D146,"mmmm")&amp;YEAR(D146),'[1]Detalle C-Fecha'!$D:$E,2,FALSE)</f>
        <v>SUC_REA - Sucursal Realicó</v>
      </c>
      <c r="D146" s="13">
        <v>46188</v>
      </c>
      <c r="E146" s="19"/>
    </row>
    <row r="147" spans="1:5" x14ac:dyDescent="0.3">
      <c r="A147" s="12" t="s">
        <v>66</v>
      </c>
      <c r="B147" s="9" t="s">
        <v>0</v>
      </c>
      <c r="C147" s="11" t="str">
        <f>VLOOKUP(A147&amp;TEXT(D147,"mmmm")&amp;YEAR(D147),'[1]Detalle C-Fecha'!$D:$E,2,FALSE)</f>
        <v>CIMSA_SRA</v>
      </c>
      <c r="D147" s="13">
        <v>46188</v>
      </c>
      <c r="E147" s="19"/>
    </row>
    <row r="148" spans="1:5" x14ac:dyDescent="0.3">
      <c r="A148" s="12" t="s">
        <v>97</v>
      </c>
      <c r="B148" s="9" t="s">
        <v>0</v>
      </c>
      <c r="C148" s="11" t="str">
        <f>VLOOKUP(A148&amp;TEXT(D148,"mmmm")&amp;YEAR(D148),'[1]Detalle C-Fecha'!$D:$E,2,FALSE)</f>
        <v>CCUDyAZA</v>
      </c>
      <c r="D148" s="13">
        <v>46188</v>
      </c>
      <c r="E148" s="19"/>
    </row>
    <row r="149" spans="1:5" x14ac:dyDescent="0.3">
      <c r="A149" s="12" t="s">
        <v>64</v>
      </c>
      <c r="B149" s="9" t="s">
        <v>0</v>
      </c>
      <c r="C149" s="11" t="str">
        <f>VLOOKUP(A149&amp;TEXT(D149,"mmmm")&amp;YEAR(D149),'[1]Detalle C-Fecha'!$D:$E,2,FALSE)</f>
        <v>CENCO_SJ - Cencosud SA - San Juan</v>
      </c>
      <c r="D149" s="13">
        <v>46188</v>
      </c>
      <c r="E149" s="19"/>
    </row>
    <row r="150" spans="1:5" x14ac:dyDescent="0.3">
      <c r="A150" s="12" t="s">
        <v>62</v>
      </c>
      <c r="B150" s="9" t="s">
        <v>0</v>
      </c>
      <c r="C150" s="11" t="str">
        <f>VLOOKUP(A150&amp;TEXT(D150,"mmmm")&amp;YEAR(D150),'[1]Detalle C-Fecha'!$D:$E,2,FALSE)</f>
        <v>Sin Operación</v>
      </c>
      <c r="D150" s="13">
        <v>46188</v>
      </c>
      <c r="E150" s="19"/>
    </row>
    <row r="151" spans="1:5" x14ac:dyDescent="0.3">
      <c r="A151" s="12" t="s">
        <v>96</v>
      </c>
      <c r="B151" s="9" t="s">
        <v>0</v>
      </c>
      <c r="C151" s="11" t="str">
        <f>VLOOKUP(A151&amp;TEXT(D151,"mmmm")&amp;YEAR(D151),'[1]Detalle C-Fecha'!$D:$E,2,FALSE)</f>
        <v>CCUDyAZA</v>
      </c>
      <c r="D151" s="13">
        <v>46188</v>
      </c>
      <c r="E151" s="19"/>
    </row>
    <row r="152" spans="1:5" x14ac:dyDescent="0.3">
      <c r="A152" s="12" t="s">
        <v>61</v>
      </c>
      <c r="B152" s="9" t="s">
        <v>0</v>
      </c>
      <c r="C152" s="11" t="str">
        <f>VLOOKUP(A152&amp;TEXT(D152,"mmmm")&amp;YEAR(D152),'[1]Detalle C-Fecha'!$D:$E,2,FALSE)</f>
        <v>Sin Operación</v>
      </c>
      <c r="D152" s="13">
        <v>46188</v>
      </c>
      <c r="E152" s="19"/>
    </row>
    <row r="153" spans="1:5" x14ac:dyDescent="0.3">
      <c r="A153" s="12" t="s">
        <v>60</v>
      </c>
      <c r="B153" s="9" t="s">
        <v>0</v>
      </c>
      <c r="C153" s="11" t="str">
        <f>VLOOKUP(A153&amp;TEXT(D153,"mmmm")&amp;YEAR(D153),'[1]Detalle C-Fecha'!$D:$E,2,FALSE)</f>
        <v>SUC_MAL - Sucursal Malargüe</v>
      </c>
      <c r="D153" s="13">
        <v>46188</v>
      </c>
      <c r="E153" s="19"/>
    </row>
    <row r="154" spans="1:5" x14ac:dyDescent="0.3">
      <c r="A154" s="12" t="s">
        <v>59</v>
      </c>
      <c r="B154" s="9" t="s">
        <v>0</v>
      </c>
      <c r="C154" s="11" t="str">
        <f>VLOOKUP(A154&amp;TEXT(D154,"mmmm")&amp;YEAR(D154),'[1]Detalle C-Fecha'!$D:$E,2,FALSE)</f>
        <v>SUC_MEN - Sucursal Mendoza</v>
      </c>
      <c r="D154" s="13">
        <v>46188</v>
      </c>
      <c r="E154" s="19"/>
    </row>
    <row r="155" spans="1:5" x14ac:dyDescent="0.3">
      <c r="A155" s="12" t="s">
        <v>95</v>
      </c>
      <c r="B155" s="9" t="s">
        <v>0</v>
      </c>
      <c r="C155" s="11" t="str">
        <f>VLOOKUP(A155&amp;TEXT(D155,"mmmm")&amp;YEAR(D155),'[1]Detalle C-Fecha'!$D:$E,2,FALSE)</f>
        <v>CCUDyAZA</v>
      </c>
      <c r="D155" s="13">
        <v>46188</v>
      </c>
      <c r="E155" s="19"/>
    </row>
    <row r="156" spans="1:5" x14ac:dyDescent="0.3">
      <c r="A156" s="12" t="s">
        <v>57</v>
      </c>
      <c r="B156" s="9" t="s">
        <v>0</v>
      </c>
      <c r="C156" s="11" t="str">
        <f>VLOOKUP(A156&amp;TEXT(D156,"mmmm")&amp;YEAR(D156),'[1]Detalle C-Fecha'!$D:$E,2,FALSE)</f>
        <v>Sin Operación</v>
      </c>
      <c r="D156" s="13">
        <v>46188</v>
      </c>
      <c r="E156" s="19"/>
    </row>
    <row r="157" spans="1:5" x14ac:dyDescent="0.3">
      <c r="A157" s="12" t="s">
        <v>56</v>
      </c>
      <c r="B157" s="9" t="s">
        <v>0</v>
      </c>
      <c r="C157" s="11" t="str">
        <f>VLOOKUP(A157&amp;TEXT(D157,"mmmm")&amp;YEAR(D157),'[1]Detalle C-Fecha'!$D:$E,2,FALSE)</f>
        <v>Sin Operación</v>
      </c>
      <c r="D157" s="13">
        <v>46188</v>
      </c>
      <c r="E157" s="19"/>
    </row>
    <row r="158" spans="1:5" x14ac:dyDescent="0.3">
      <c r="A158" s="12" t="s">
        <v>53</v>
      </c>
      <c r="B158" s="9" t="s">
        <v>0</v>
      </c>
      <c r="C158" s="11" t="str">
        <f>VLOOKUP(A158&amp;TEXT(D158,"mmmm")&amp;YEAR(D158),'[1]Detalle C-Fecha'!$D:$E,2,FALSE)</f>
        <v>Sin Operación</v>
      </c>
      <c r="D158" s="13">
        <v>46188</v>
      </c>
      <c r="E158" s="19"/>
    </row>
    <row r="159" spans="1:5" x14ac:dyDescent="0.3">
      <c r="A159" s="12" t="s">
        <v>52</v>
      </c>
      <c r="B159" s="9" t="s">
        <v>0</v>
      </c>
      <c r="C159" s="11" t="str">
        <f>VLOOKUP(A159&amp;TEXT(D159,"mmmm")&amp;YEAR(D159),'[1]Detalle C-Fecha'!$D:$E,2,FALSE)</f>
        <v>Sin Operación</v>
      </c>
      <c r="D159" s="13">
        <v>46188</v>
      </c>
      <c r="E159" s="19"/>
    </row>
    <row r="160" spans="1:5" x14ac:dyDescent="0.3">
      <c r="A160" s="12" t="s">
        <v>51</v>
      </c>
      <c r="B160" s="9" t="s">
        <v>0</v>
      </c>
      <c r="C160" s="11" t="str">
        <f>VLOOKUP(A160&amp;TEXT(D160,"mmmm")&amp;YEAR(D160),'[1]Detalle C-Fecha'!$D:$E,2,FALSE)</f>
        <v>Sin Operación</v>
      </c>
      <c r="D160" s="13">
        <v>46188</v>
      </c>
      <c r="E160" s="19"/>
    </row>
    <row r="161" spans="1:5" x14ac:dyDescent="0.3">
      <c r="A161" s="12" t="s">
        <v>50</v>
      </c>
      <c r="B161" s="9" t="s">
        <v>0</v>
      </c>
      <c r="C161" s="11" t="str">
        <f>VLOOKUP(A161&amp;TEXT(D161,"mmmm")&amp;YEAR(D161),'[1]Detalle C-Fecha'!$D:$E,2,FALSE)</f>
        <v>Sin Operación</v>
      </c>
      <c r="D161" s="13">
        <v>46193</v>
      </c>
      <c r="E161" s="19"/>
    </row>
    <row r="162" spans="1:5" x14ac:dyDescent="0.3">
      <c r="A162" s="12" t="s">
        <v>49</v>
      </c>
      <c r="B162" s="9" t="s">
        <v>0</v>
      </c>
      <c r="C162" s="11" t="str">
        <f>VLOOKUP(A162&amp;TEXT(D162,"mmmm")&amp;YEAR(D162),'[1]Detalle C-Fecha'!$D:$E,2,FALSE)</f>
        <v>Sin Operación</v>
      </c>
      <c r="D162" s="13">
        <v>46193</v>
      </c>
      <c r="E162" s="19"/>
    </row>
    <row r="163" spans="1:5" x14ac:dyDescent="0.3">
      <c r="A163" s="12" t="s">
        <v>48</v>
      </c>
      <c r="B163" s="9" t="s">
        <v>0</v>
      </c>
      <c r="C163" s="11" t="str">
        <f>VLOOKUP(A163&amp;TEXT(D163,"mmmm")&amp;YEAR(D163),'[1]Detalle C-Fecha'!$D:$E,2,FALSE)</f>
        <v>Sin Operación</v>
      </c>
      <c r="D163" s="13">
        <v>46193</v>
      </c>
      <c r="E163" s="19"/>
    </row>
    <row r="164" spans="1:5" x14ac:dyDescent="0.3">
      <c r="A164" s="12" t="s">
        <v>45</v>
      </c>
      <c r="B164" s="9" t="s">
        <v>0</v>
      </c>
      <c r="C164" s="11" t="str">
        <f>VLOOKUP(A164&amp;TEXT(D164,"mmmm")&amp;YEAR(D164),'[1]Detalle C-Fecha'!$D:$E,2,FALSE)</f>
        <v>Sin Operación</v>
      </c>
      <c r="D164" s="13">
        <v>46193</v>
      </c>
      <c r="E164" s="19"/>
    </row>
    <row r="165" spans="1:5" x14ac:dyDescent="0.3">
      <c r="A165" s="12" t="s">
        <v>44</v>
      </c>
      <c r="B165" s="9" t="s">
        <v>0</v>
      </c>
      <c r="C165" s="11" t="str">
        <f>VLOOKUP(A165&amp;TEXT(D165,"mmmm")&amp;YEAR(D165),'[1]Detalle C-Fecha'!$D:$E,2,FALSE)</f>
        <v>Sin Operación</v>
      </c>
      <c r="D165" s="13">
        <v>46193</v>
      </c>
      <c r="E165" s="19"/>
    </row>
    <row r="166" spans="1:5" x14ac:dyDescent="0.3">
      <c r="A166" s="12" t="s">
        <v>43</v>
      </c>
      <c r="B166" s="9" t="s">
        <v>0</v>
      </c>
      <c r="C166" s="11" t="str">
        <f>VLOOKUP(A166&amp;TEXT(D166,"mmmm")&amp;YEAR(D166),'[1]Detalle C-Fecha'!$D:$E,2,FALSE)</f>
        <v>Sin Operación</v>
      </c>
      <c r="D166" s="13">
        <v>46193</v>
      </c>
      <c r="E166" s="19"/>
    </row>
    <row r="167" spans="1:5" x14ac:dyDescent="0.3">
      <c r="A167" s="12" t="s">
        <v>94</v>
      </c>
      <c r="B167" s="9" t="s">
        <v>0</v>
      </c>
      <c r="C167" s="11" t="str">
        <f>VLOOKUP(A167&amp;TEXT(D167,"mmmm")&amp;YEAR(D167),'[1]Detalle C-Fecha'!$D:$E,2,FALSE)</f>
        <v>CCUDyAZA</v>
      </c>
      <c r="D167" s="13">
        <v>46193</v>
      </c>
      <c r="E167" s="19"/>
    </row>
    <row r="168" spans="1:5" x14ac:dyDescent="0.3">
      <c r="A168" s="12" t="s">
        <v>93</v>
      </c>
      <c r="B168" s="9" t="s">
        <v>0</v>
      </c>
      <c r="C168" s="11" t="str">
        <f>VLOOKUP(A168&amp;TEXT(D168,"mmmm")&amp;YEAR(D168),'[1]Detalle C-Fecha'!$D:$E,2,FALSE)</f>
        <v>SUC_SLU - Sucursal San Luis</v>
      </c>
      <c r="D168" s="13">
        <v>46193</v>
      </c>
      <c r="E168" s="19"/>
    </row>
    <row r="169" spans="1:5" x14ac:dyDescent="0.3">
      <c r="A169" s="12" t="s">
        <v>42</v>
      </c>
      <c r="B169" s="9" t="s">
        <v>0</v>
      </c>
      <c r="C169" s="11" t="str">
        <f>VLOOKUP(A169&amp;TEXT(D169,"mmmm")&amp;YEAR(D169),'[1]Detalle C-Fecha'!$D:$E,2,FALSE)</f>
        <v>CENCOMLD - Cencosud SA - Mendoza</v>
      </c>
      <c r="D169" s="13">
        <v>46193</v>
      </c>
      <c r="E169" s="19"/>
    </row>
    <row r="170" spans="1:5" x14ac:dyDescent="0.3">
      <c r="A170" s="12" t="s">
        <v>92</v>
      </c>
      <c r="B170" s="9" t="s">
        <v>0</v>
      </c>
      <c r="C170" s="11" t="str">
        <f>VLOOKUP(A170&amp;TEXT(D170,"mmmm")&amp;YEAR(D170),'[1]Detalle C-Fecha'!$D:$E,2,FALSE)</f>
        <v>CCUDyAZA</v>
      </c>
      <c r="D170" s="13">
        <v>46193</v>
      </c>
      <c r="E170" s="19"/>
    </row>
    <row r="171" spans="1:5" x14ac:dyDescent="0.3">
      <c r="A171" s="12" t="s">
        <v>91</v>
      </c>
      <c r="B171" s="9" t="s">
        <v>0</v>
      </c>
      <c r="C171" s="11" t="str">
        <f>VLOOKUP(A171&amp;TEXT(D171,"mmmm")&amp;YEAR(D171),'[1]Detalle C-Fecha'!$D:$E,2,FALSE)</f>
        <v>CCUDyAZA</v>
      </c>
      <c r="D171" s="13">
        <v>46193</v>
      </c>
      <c r="E171" s="19"/>
    </row>
    <row r="172" spans="1:5" x14ac:dyDescent="0.3">
      <c r="A172" s="12" t="s">
        <v>41</v>
      </c>
      <c r="B172" s="9" t="s">
        <v>0</v>
      </c>
      <c r="C172" s="11" t="str">
        <f>VLOOKUP(A172&amp;TEXT(D172,"mmmm")&amp;YEAR(D172),'[1]Detalle C-Fecha'!$D:$E,2,FALSE)</f>
        <v>CENCO_SJ - Cencosud SA - San Juan</v>
      </c>
      <c r="D172" s="13">
        <v>46193</v>
      </c>
      <c r="E172" s="19"/>
    </row>
    <row r="173" spans="1:5" x14ac:dyDescent="0.3">
      <c r="A173" s="12" t="s">
        <v>58</v>
      </c>
      <c r="B173" s="9" t="s">
        <v>0</v>
      </c>
      <c r="C173" s="11" t="str">
        <f>VLOOKUP(A173&amp;TEXT(D173,"mmmm")&amp;YEAR(D173),'[1]Detalle C-Fecha'!$D:$E,2,FALSE)</f>
        <v>CMQ_TTE - QUILMES TTE</v>
      </c>
      <c r="D173" s="13">
        <v>46193</v>
      </c>
      <c r="E173" s="19"/>
    </row>
    <row r="174" spans="1:5" x14ac:dyDescent="0.3">
      <c r="A174" s="12" t="s">
        <v>90</v>
      </c>
      <c r="B174" s="9" t="s">
        <v>0</v>
      </c>
      <c r="C174" s="11" t="str">
        <f>VLOOKUP(A174&amp;TEXT(D174,"mmmm")&amp;YEAR(D174),'[1]Detalle C-Fecha'!$D:$E,2,FALSE)</f>
        <v>CMQ_TTE - QUILMES TTE</v>
      </c>
      <c r="D174" s="13">
        <v>46193</v>
      </c>
      <c r="E174" s="19"/>
    </row>
    <row r="175" spans="1:5" x14ac:dyDescent="0.3">
      <c r="A175" s="12" t="s">
        <v>35</v>
      </c>
      <c r="B175" s="9" t="s">
        <v>0</v>
      </c>
      <c r="C175" s="11" t="str">
        <f>VLOOKUP(A175&amp;TEXT(D175,"mmmm")&amp;YEAR(D175),'[1]Detalle C-Fecha'!$D:$E,2,FALSE)</f>
        <v>CENCO_MZ - Cencosud SA - Mendoza</v>
      </c>
      <c r="D175" s="13">
        <v>46193</v>
      </c>
      <c r="E175" s="19"/>
    </row>
    <row r="176" spans="1:5" x14ac:dyDescent="0.3">
      <c r="A176" s="12" t="s">
        <v>32</v>
      </c>
      <c r="B176" s="9" t="s">
        <v>0</v>
      </c>
      <c r="C176" s="11" t="str">
        <f>VLOOKUP(A176&amp;TEXT(D176,"mmmm")&amp;YEAR(D176),'[1]Detalle C-Fecha'!$D:$E,2,FALSE)</f>
        <v>Sin Operación</v>
      </c>
      <c r="D176" s="13">
        <v>46193</v>
      </c>
      <c r="E176" s="19"/>
    </row>
    <row r="177" spans="1:5" x14ac:dyDescent="0.3">
      <c r="A177" s="12" t="s">
        <v>31</v>
      </c>
      <c r="B177" s="9" t="s">
        <v>0</v>
      </c>
      <c r="C177" s="11" t="str">
        <f>VLOOKUP(A177&amp;TEXT(D177,"mmmm")&amp;YEAR(D177),'[1]Detalle C-Fecha'!$D:$E,2,FALSE)</f>
        <v>Sin Operación</v>
      </c>
      <c r="D177" s="13">
        <v>46193</v>
      </c>
      <c r="E177" s="19"/>
    </row>
    <row r="178" spans="1:5" x14ac:dyDescent="0.3">
      <c r="A178" s="12" t="s">
        <v>89</v>
      </c>
      <c r="B178" s="9" t="s">
        <v>0</v>
      </c>
      <c r="C178" s="11" t="str">
        <f>VLOOKUP(A178&amp;TEXT(D178,"mmmm")&amp;YEAR(D178),'[1]Detalle C-Fecha'!$D:$E,2,FALSE)</f>
        <v>CMQ_TTE - QUILMES TTE</v>
      </c>
      <c r="D178" s="13">
        <v>46193</v>
      </c>
      <c r="E178" s="19"/>
    </row>
    <row r="179" spans="1:5" x14ac:dyDescent="0.3">
      <c r="A179" s="12" t="s">
        <v>24</v>
      </c>
      <c r="B179" s="9" t="s">
        <v>0</v>
      </c>
      <c r="C179" s="11" t="str">
        <f>VLOOKUP(A179&amp;TEXT(D179,"mmmm")&amp;YEAR(D179),'[1]Detalle C-Fecha'!$D:$E,2,FALSE)</f>
        <v>CMQ_TTE - QUILMES TTE</v>
      </c>
      <c r="D179" s="13">
        <v>46200</v>
      </c>
      <c r="E179" s="19"/>
    </row>
    <row r="180" spans="1:5" x14ac:dyDescent="0.3">
      <c r="A180" s="12" t="s">
        <v>88</v>
      </c>
      <c r="B180" s="9" t="s">
        <v>0</v>
      </c>
      <c r="C180" s="11" t="str">
        <f>VLOOKUP(A180&amp;TEXT(D180,"mmmm")&amp;YEAR(D180),'[1]Detalle C-Fecha'!$D:$E,2,FALSE)</f>
        <v>CMQ_TTE - QUILMES TTE</v>
      </c>
      <c r="D180" s="13">
        <v>46200</v>
      </c>
      <c r="E180" s="19"/>
    </row>
    <row r="181" spans="1:5" x14ac:dyDescent="0.3">
      <c r="A181" s="12" t="s">
        <v>28</v>
      </c>
      <c r="B181" s="9" t="s">
        <v>0</v>
      </c>
      <c r="C181" s="11" t="str">
        <f>VLOOKUP(A181&amp;TEXT(D181,"mmmm")&amp;YEAR(D181),'[1]Detalle C-Fecha'!$D:$E,2,FALSE)</f>
        <v>CENCOMLD - Cencosud SA - Mendoza</v>
      </c>
      <c r="D181" s="13">
        <v>46200</v>
      </c>
      <c r="E181" s="19"/>
    </row>
    <row r="182" spans="1:5" x14ac:dyDescent="0.3">
      <c r="A182" s="12" t="s">
        <v>27</v>
      </c>
      <c r="B182" s="9" t="s">
        <v>0</v>
      </c>
      <c r="C182" s="11" t="str">
        <f>VLOOKUP(A182&amp;TEXT(D182,"mmmm")&amp;YEAR(D182),'[1]Detalle C-Fecha'!$D:$E,2,FALSE)</f>
        <v>CENCOMLD - Cencosud SA - Mendoza</v>
      </c>
      <c r="D182" s="13">
        <v>46200</v>
      </c>
      <c r="E182" s="19"/>
    </row>
    <row r="183" spans="1:5" x14ac:dyDescent="0.3">
      <c r="A183" s="12" t="s">
        <v>87</v>
      </c>
      <c r="B183" s="9" t="s">
        <v>0</v>
      </c>
      <c r="C183" s="11" t="str">
        <f>VLOOKUP(A183&amp;TEXT(D183,"mmmm")&amp;YEAR(D183),'[1]Detalle C-Fecha'!$D:$E,2,FALSE)</f>
        <v>Expreso - Servicios Troncales</v>
      </c>
      <c r="D183" s="13">
        <v>46200</v>
      </c>
      <c r="E183" s="19"/>
    </row>
    <row r="184" spans="1:5" x14ac:dyDescent="0.3">
      <c r="A184" s="12" t="s">
        <v>77</v>
      </c>
      <c r="B184" s="9" t="s">
        <v>0</v>
      </c>
      <c r="C184" s="11" t="str">
        <f>VLOOKUP(A184&amp;TEXT(D184,"mmmm")&amp;YEAR(D184),'[1]Detalle C-Fecha'!$D:$E,2,FALSE)</f>
        <v>Topacio</v>
      </c>
      <c r="D184" s="13">
        <v>46200</v>
      </c>
      <c r="E184" s="19"/>
    </row>
    <row r="185" spans="1:5" x14ac:dyDescent="0.3">
      <c r="A185" s="12" t="s">
        <v>86</v>
      </c>
      <c r="B185" s="9" t="s">
        <v>0</v>
      </c>
      <c r="C185" s="11" t="str">
        <f>VLOOKUP(A185&amp;TEXT(D185,"mmmm")&amp;YEAR(D185),'[1]Detalle C-Fecha'!$D:$E,2,FALSE)</f>
        <v>Unilever - Unilever de Arg. S.A.</v>
      </c>
      <c r="D185" s="13">
        <v>46200</v>
      </c>
      <c r="E185" s="19"/>
    </row>
    <row r="186" spans="1:5" x14ac:dyDescent="0.3">
      <c r="A186" s="12" t="s">
        <v>20</v>
      </c>
      <c r="B186" s="9" t="s">
        <v>0</v>
      </c>
      <c r="C186" s="11" t="str">
        <f>VLOOKUP(A186&amp;TEXT(D186,"mmmm")&amp;YEAR(D186),'[1]Detalle C-Fecha'!$D:$E,2,FALSE)</f>
        <v>CENCOMLD - Cencosud SA - Mendoza</v>
      </c>
      <c r="D186" s="13">
        <v>46200</v>
      </c>
      <c r="E186" s="19"/>
    </row>
    <row r="187" spans="1:5" x14ac:dyDescent="0.3">
      <c r="A187" s="12" t="s">
        <v>12</v>
      </c>
      <c r="B187" s="9" t="s">
        <v>0</v>
      </c>
      <c r="C187" s="11" t="str">
        <f>VLOOKUP(A187&amp;TEXT(D187,"mmmm")&amp;YEAR(D187),'[1]Detalle C-Fecha'!$D:$E,2,FALSE)</f>
        <v>CENCOMLD - Cencosud SA - Mendoza</v>
      </c>
      <c r="D187" s="13">
        <v>46200</v>
      </c>
      <c r="E187" s="19"/>
    </row>
    <row r="188" spans="1:5" x14ac:dyDescent="0.3">
      <c r="A188" s="12" t="s">
        <v>9</v>
      </c>
      <c r="B188" s="9" t="s">
        <v>0</v>
      </c>
      <c r="C188" s="11" t="str">
        <f>VLOOKUP(A188&amp;TEXT(D188,"mmmm")&amp;YEAR(D188),'[1]Detalle C-Fecha'!$D:$E,2,FALSE)</f>
        <v>Expreso - Servicios Troncales</v>
      </c>
      <c r="D188" s="13">
        <v>46200</v>
      </c>
      <c r="E188" s="19"/>
    </row>
    <row r="189" spans="1:5" x14ac:dyDescent="0.3">
      <c r="A189" s="14" t="s">
        <v>2</v>
      </c>
      <c r="B189" s="9" t="s">
        <v>0</v>
      </c>
      <c r="C189" s="11" t="str">
        <f>VLOOKUP(A189&amp;TEXT(D189,"mmmm")&amp;YEAR(D189),'[1]Detalle C-Fecha'!$D:$E,2,FALSE)</f>
        <v>Expreso - Servicios Troncales</v>
      </c>
      <c r="D189" s="13">
        <v>46200</v>
      </c>
      <c r="E189" s="19"/>
    </row>
    <row r="190" spans="1:5" x14ac:dyDescent="0.3">
      <c r="A190" s="12" t="s">
        <v>18</v>
      </c>
      <c r="B190" s="9" t="s">
        <v>0</v>
      </c>
      <c r="C190" s="11" t="str">
        <f>VLOOKUP(A190&amp;TEXT(D190,"mmmm")&amp;YEAR(D190),'[1]Detalle C-Fecha'!$D:$E,2,FALSE)</f>
        <v>ADA_CH - Danone Arg. S.A. - Chascomus</v>
      </c>
      <c r="D190" s="8">
        <v>46208</v>
      </c>
      <c r="E190" s="19"/>
    </row>
    <row r="191" spans="1:5" x14ac:dyDescent="0.3">
      <c r="A191" s="12" t="s">
        <v>17</v>
      </c>
      <c r="B191" s="9" t="s">
        <v>0</v>
      </c>
      <c r="C191" s="11" t="str">
        <f>VLOOKUP(A191&amp;TEXT(D191,"mmmm")&amp;YEAR(D191),'[1]Detalle C-Fecha'!$D:$E,2,FALSE)</f>
        <v>ADA_CH - Danone Arg. S.A. - Chascomus</v>
      </c>
      <c r="D191" s="8">
        <v>46208</v>
      </c>
      <c r="E191" s="19"/>
    </row>
    <row r="192" spans="1:5" x14ac:dyDescent="0.3">
      <c r="A192" s="12" t="s">
        <v>75</v>
      </c>
      <c r="B192" s="9" t="s">
        <v>0</v>
      </c>
      <c r="C192" s="11" t="str">
        <f>VLOOKUP(A192&amp;TEXT(D192,"mmmm")&amp;YEAR(D192),'[1]Detalle C-Fecha'!$D:$E,2,FALSE)</f>
        <v>AGN_TTE - AGUANORT - Transporte</v>
      </c>
      <c r="D192" s="8">
        <v>46208</v>
      </c>
      <c r="E192" s="19"/>
    </row>
    <row r="193" spans="1:5" x14ac:dyDescent="0.3">
      <c r="A193" s="12" t="s">
        <v>63</v>
      </c>
      <c r="B193" s="9" t="s">
        <v>0</v>
      </c>
      <c r="C193" s="11" t="str">
        <f>VLOOKUP(A193&amp;TEXT(D193,"mmmm")&amp;YEAR(D193),'[1]Detalle C-Fecha'!$D:$E,2,FALSE)</f>
        <v>Alfavinil SA</v>
      </c>
      <c r="D193" s="8">
        <v>46208</v>
      </c>
      <c r="E193" s="19"/>
    </row>
    <row r="194" spans="1:5" x14ac:dyDescent="0.3">
      <c r="A194" s="12" t="s">
        <v>29</v>
      </c>
      <c r="B194" s="9" t="s">
        <v>0</v>
      </c>
      <c r="C194" s="11" t="str">
        <f>VLOOKUP(A194&amp;TEXT(D194,"mmmm")&amp;YEAR(D194),'[1]Detalle C-Fecha'!$D:$E,2,FALSE)</f>
        <v>Arcor S.A.I.C.</v>
      </c>
      <c r="D194" s="8">
        <v>46208</v>
      </c>
      <c r="E194" s="19"/>
    </row>
    <row r="195" spans="1:5" x14ac:dyDescent="0.3">
      <c r="A195" s="12" t="s">
        <v>38</v>
      </c>
      <c r="B195" s="9" t="s">
        <v>0</v>
      </c>
      <c r="C195" s="11" t="str">
        <f>VLOOKUP(A195&amp;TEXT(D195,"mmmm")&amp;YEAR(D195),'[1]Detalle C-Fecha'!$D:$E,2,FALSE)</f>
        <v>CCUCoAZA</v>
      </c>
      <c r="D195" s="8">
        <v>46208</v>
      </c>
      <c r="E195" s="19"/>
    </row>
    <row r="196" spans="1:5" x14ac:dyDescent="0.3">
      <c r="A196" s="12" t="s">
        <v>39</v>
      </c>
      <c r="B196" s="9" t="s">
        <v>0</v>
      </c>
      <c r="C196" s="11" t="str">
        <f>VLOOKUP(A196&amp;TEXT(D196,"mmmm")&amp;YEAR(D196),'[1]Detalle C-Fecha'!$D:$E,2,FALSE)</f>
        <v>CCUCoAZA</v>
      </c>
      <c r="D196" s="8">
        <v>46208</v>
      </c>
      <c r="E196" s="19"/>
    </row>
    <row r="197" spans="1:5" x14ac:dyDescent="0.3">
      <c r="A197" s="12" t="s">
        <v>35</v>
      </c>
      <c r="B197" s="9" t="s">
        <v>0</v>
      </c>
      <c r="C197" s="11" t="str">
        <f>VLOOKUP(A197&amp;TEXT(D197,"mmmm")&amp;YEAR(D197),'[1]Detalle C-Fecha'!$D:$E,2,FALSE)</f>
        <v>CENCO_MZ - Cencosud SA - Mendoza</v>
      </c>
      <c r="D197" s="8">
        <v>46208</v>
      </c>
      <c r="E197" s="19"/>
    </row>
    <row r="198" spans="1:5" x14ac:dyDescent="0.3">
      <c r="A198" s="12" t="s">
        <v>41</v>
      </c>
      <c r="B198" s="9" t="s">
        <v>0</v>
      </c>
      <c r="C198" s="11" t="str">
        <f>VLOOKUP(A198&amp;TEXT(D198,"mmmm")&amp;YEAR(D198),'[1]Detalle C-Fecha'!$D:$E,2,FALSE)</f>
        <v>CENCO_SJ - Cencosud SA - San Juan</v>
      </c>
      <c r="D198" s="8">
        <v>46208</v>
      </c>
      <c r="E198" s="19"/>
    </row>
    <row r="199" spans="1:5" x14ac:dyDescent="0.3">
      <c r="A199" s="12" t="s">
        <v>64</v>
      </c>
      <c r="B199" s="9" t="s">
        <v>0</v>
      </c>
      <c r="C199" s="11" t="str">
        <f>VLOOKUP(A199&amp;TEXT(D199,"mmmm")&amp;YEAR(D199),'[1]Detalle C-Fecha'!$D:$E,2,FALSE)</f>
        <v>CENCO_SJ - Cencosud SA - San Juan</v>
      </c>
      <c r="D199" s="8">
        <v>46208</v>
      </c>
      <c r="E199" s="19"/>
    </row>
    <row r="200" spans="1:5" x14ac:dyDescent="0.3">
      <c r="A200" s="12" t="s">
        <v>72</v>
      </c>
      <c r="B200" s="9" t="s">
        <v>0</v>
      </c>
      <c r="C200" s="11" t="str">
        <f>VLOOKUP(A200&amp;TEXT(D200,"mmmm")&amp;YEAR(D200),'[1]Detalle C-Fecha'!$D:$E,2,FALSE)</f>
        <v>CENCOMLD - Cencosud SA - Mendoza</v>
      </c>
      <c r="D200" s="8">
        <v>46208</v>
      </c>
      <c r="E200" s="19"/>
    </row>
    <row r="201" spans="1:5" x14ac:dyDescent="0.3">
      <c r="A201" s="12" t="s">
        <v>27</v>
      </c>
      <c r="B201" s="9" t="s">
        <v>0</v>
      </c>
      <c r="C201" s="11" t="str">
        <f>VLOOKUP(A201&amp;TEXT(D201,"mmmm")&amp;YEAR(D201),'[1]Detalle C-Fecha'!$D:$E,2,FALSE)</f>
        <v>CENCOMLD - Cencosud SA - Mendoza</v>
      </c>
      <c r="D201" s="8">
        <v>46208</v>
      </c>
      <c r="E201" s="19"/>
    </row>
    <row r="202" spans="1:5" x14ac:dyDescent="0.3">
      <c r="A202" s="12" t="s">
        <v>25</v>
      </c>
      <c r="B202" s="9" t="s">
        <v>0</v>
      </c>
      <c r="C202" s="11" t="str">
        <f>VLOOKUP(A202&amp;TEXT(D202,"mmmm")&amp;YEAR(D202),'[1]Detalle C-Fecha'!$D:$E,2,FALSE)</f>
        <v>CENCOMLD - Cencosud SA - Mendoza</v>
      </c>
      <c r="D202" s="8">
        <v>46208</v>
      </c>
      <c r="E202" s="19"/>
    </row>
    <row r="203" spans="1:5" x14ac:dyDescent="0.3">
      <c r="A203" s="12" t="s">
        <v>20</v>
      </c>
      <c r="B203" s="9" t="s">
        <v>0</v>
      </c>
      <c r="C203" s="11" t="str">
        <f>VLOOKUP(A203&amp;TEXT(D203,"mmmm")&amp;YEAR(D203),'[1]Detalle C-Fecha'!$D:$E,2,FALSE)</f>
        <v>CENCOMLD - Cencosud SA - Mendoza</v>
      </c>
      <c r="D203" s="8">
        <v>46208</v>
      </c>
      <c r="E203" s="19"/>
    </row>
    <row r="204" spans="1:5" x14ac:dyDescent="0.3">
      <c r="A204" s="12" t="s">
        <v>12</v>
      </c>
      <c r="B204" s="9" t="s">
        <v>0</v>
      </c>
      <c r="C204" s="11" t="str">
        <f>VLOOKUP(A204&amp;TEXT(D204,"mmmm")&amp;YEAR(D204),'[1]Detalle C-Fecha'!$D:$E,2,FALSE)</f>
        <v>CENCOMLD - Cencosud SA - Mendoza</v>
      </c>
      <c r="D204" s="8">
        <v>46208</v>
      </c>
      <c r="E204" s="19"/>
    </row>
    <row r="205" spans="1:5" x14ac:dyDescent="0.3">
      <c r="A205" s="12" t="s">
        <v>42</v>
      </c>
      <c r="B205" s="9" t="s">
        <v>0</v>
      </c>
      <c r="C205" s="11" t="str">
        <f>VLOOKUP(A205&amp;TEXT(D205,"mmmm")&amp;YEAR(D205),'[1]Detalle C-Fecha'!$D:$E,2,FALSE)</f>
        <v>CENCOMLD - Cencosud SA - Mendoza</v>
      </c>
      <c r="D205" s="8">
        <v>46208</v>
      </c>
      <c r="E205" s="19"/>
    </row>
    <row r="206" spans="1:5" x14ac:dyDescent="0.3">
      <c r="A206" s="12" t="s">
        <v>66</v>
      </c>
      <c r="B206" s="9" t="s">
        <v>0</v>
      </c>
      <c r="C206" s="11" t="str">
        <f>VLOOKUP(A206&amp;TEXT(D206,"mmmm")&amp;YEAR(D206),'[1]Detalle C-Fecha'!$D:$E,2,FALSE)</f>
        <v>CIMSA_SRA</v>
      </c>
      <c r="D206" s="8">
        <v>46208</v>
      </c>
      <c r="E206" s="19"/>
    </row>
    <row r="207" spans="1:5" x14ac:dyDescent="0.3">
      <c r="A207" s="12" t="s">
        <v>34</v>
      </c>
      <c r="B207" s="9" t="s">
        <v>0</v>
      </c>
      <c r="C207" s="11" t="str">
        <f>VLOOKUP(A207&amp;TEXT(D207,"mmmm")&amp;YEAR(D207),'[1]Detalle C-Fecha'!$D:$E,2,FALSE)</f>
        <v>CMQ_TTE - QUILMES TTE</v>
      </c>
      <c r="D207" s="8">
        <v>46208</v>
      </c>
      <c r="E207" s="19"/>
    </row>
    <row r="208" spans="1:5" x14ac:dyDescent="0.3">
      <c r="A208" s="12" t="s">
        <v>85</v>
      </c>
      <c r="B208" s="9" t="s">
        <v>0</v>
      </c>
      <c r="C208" s="11" t="str">
        <f>VLOOKUP(A208&amp;TEXT(D208,"mmmm")&amp;YEAR(D208),'[1]Detalle C-Fecha'!$D:$E,2,FALSE)</f>
        <v>CMQ_TTE - QUILMES TTE</v>
      </c>
      <c r="D208" s="8">
        <v>46208</v>
      </c>
      <c r="E208" s="19"/>
    </row>
    <row r="209" spans="1:5" x14ac:dyDescent="0.3">
      <c r="A209" s="12" t="s">
        <v>58</v>
      </c>
      <c r="B209" s="9" t="s">
        <v>0</v>
      </c>
      <c r="C209" s="11" t="str">
        <f>VLOOKUP(A209&amp;TEXT(D209,"mmmm")&amp;YEAR(D209),'[1]Detalle C-Fecha'!$D:$E,2,FALSE)</f>
        <v>CMQ_TTE - QUILMES TTE</v>
      </c>
      <c r="D209" s="8">
        <v>46208</v>
      </c>
      <c r="E209" s="19"/>
    </row>
    <row r="210" spans="1:5" x14ac:dyDescent="0.3">
      <c r="A210" s="12" t="s">
        <v>37</v>
      </c>
      <c r="B210" s="9" t="s">
        <v>0</v>
      </c>
      <c r="C210" s="11" t="str">
        <f>VLOOKUP(A210&amp;TEXT(D210,"mmmm")&amp;YEAR(D210),'[1]Detalle C-Fecha'!$D:$E,2,FALSE)</f>
        <v>CMQ_TTE - QUILMES TTE</v>
      </c>
      <c r="D210" s="8">
        <v>46208</v>
      </c>
      <c r="E210" s="19"/>
    </row>
    <row r="211" spans="1:5" x14ac:dyDescent="0.3">
      <c r="A211" s="12" t="s">
        <v>71</v>
      </c>
      <c r="B211" s="9" t="s">
        <v>0</v>
      </c>
      <c r="C211" s="11" t="str">
        <f>VLOOKUP(A211&amp;TEXT(D211,"mmmm")&amp;YEAR(D211),'[1]Detalle C-Fecha'!$D:$E,2,FALSE)</f>
        <v>CMQ_TTE - QUILMES TTE</v>
      </c>
      <c r="D211" s="8">
        <v>46208</v>
      </c>
      <c r="E211" s="19"/>
    </row>
    <row r="212" spans="1:5" x14ac:dyDescent="0.3">
      <c r="A212" s="12" t="s">
        <v>11</v>
      </c>
      <c r="B212" s="9" t="s">
        <v>0</v>
      </c>
      <c r="C212" s="11" t="str">
        <f>VLOOKUP(A212&amp;TEXT(D212,"mmmm")&amp;YEAR(D212),'[1]Detalle C-Fecha'!$D:$E,2,FALSE)</f>
        <v>Expreso - Servicios Troncales</v>
      </c>
      <c r="D212" s="8">
        <v>46208</v>
      </c>
      <c r="E212" s="19"/>
    </row>
    <row r="213" spans="1:5" x14ac:dyDescent="0.3">
      <c r="A213" s="12" t="s">
        <v>8</v>
      </c>
      <c r="B213" s="9" t="s">
        <v>0</v>
      </c>
      <c r="C213" s="11" t="str">
        <f>VLOOKUP(A213&amp;TEXT(D213,"mmmm")&amp;YEAR(D213),'[1]Detalle C-Fecha'!$D:$E,2,FALSE)</f>
        <v>Expreso - Servicios Troncales</v>
      </c>
      <c r="D213" s="8">
        <v>46208</v>
      </c>
      <c r="E213" s="19"/>
    </row>
    <row r="214" spans="1:5" x14ac:dyDescent="0.3">
      <c r="A214" s="12" t="s">
        <v>7</v>
      </c>
      <c r="B214" s="9" t="s">
        <v>0</v>
      </c>
      <c r="C214" s="11" t="str">
        <f>VLOOKUP(A214&amp;TEXT(D214,"mmmm")&amp;YEAR(D214),'[1]Detalle C-Fecha'!$D:$E,2,FALSE)</f>
        <v>Expreso - Servicios Troncales</v>
      </c>
      <c r="D214" s="8">
        <v>46208</v>
      </c>
      <c r="E214" s="19"/>
    </row>
    <row r="215" spans="1:5" x14ac:dyDescent="0.3">
      <c r="A215" s="12" t="s">
        <v>9</v>
      </c>
      <c r="B215" s="9" t="s">
        <v>0</v>
      </c>
      <c r="C215" s="11" t="str">
        <f>VLOOKUP(A215&amp;TEXT(D215,"mmmm")&amp;YEAR(D215),'[1]Detalle C-Fecha'!$D:$E,2,FALSE)</f>
        <v>Expreso - Servicios Troncales</v>
      </c>
      <c r="D215" s="8">
        <v>46208</v>
      </c>
      <c r="E215" s="19"/>
    </row>
    <row r="216" spans="1:5" x14ac:dyDescent="0.3">
      <c r="A216" s="12" t="s">
        <v>3</v>
      </c>
      <c r="B216" s="9" t="s">
        <v>0</v>
      </c>
      <c r="C216" s="11" t="str">
        <f>VLOOKUP(A216&amp;TEXT(D216,"mmmm")&amp;YEAR(D216),'[1]Detalle C-Fecha'!$D:$E,2,FALSE)</f>
        <v>Expreso - Servicios Troncales</v>
      </c>
      <c r="D216" s="8">
        <v>46208</v>
      </c>
      <c r="E216" s="19"/>
    </row>
    <row r="217" spans="1:5" x14ac:dyDescent="0.3">
      <c r="A217" s="12" t="s">
        <v>62</v>
      </c>
      <c r="B217" s="9" t="s">
        <v>0</v>
      </c>
      <c r="C217" s="11" t="str">
        <f>VLOOKUP(A217&amp;TEXT(D217,"mmmm")&amp;YEAR(D217),'[1]Detalle C-Fecha'!$D:$E,2,FALSE)</f>
        <v>Sin Operación</v>
      </c>
      <c r="D217" s="8">
        <v>46208</v>
      </c>
      <c r="E217" s="19"/>
    </row>
    <row r="218" spans="1:5" x14ac:dyDescent="0.3">
      <c r="A218" s="12" t="s">
        <v>61</v>
      </c>
      <c r="B218" s="9" t="s">
        <v>0</v>
      </c>
      <c r="C218" s="11" t="str">
        <f>VLOOKUP(A218&amp;TEXT(D218,"mmmm")&amp;YEAR(D218),'[1]Detalle C-Fecha'!$D:$E,2,FALSE)</f>
        <v>Sin Operación</v>
      </c>
      <c r="D218" s="8">
        <v>46208</v>
      </c>
      <c r="E218" s="19"/>
    </row>
    <row r="219" spans="1:5" x14ac:dyDescent="0.3">
      <c r="A219" s="12" t="s">
        <v>57</v>
      </c>
      <c r="B219" s="9" t="s">
        <v>0</v>
      </c>
      <c r="C219" s="11" t="str">
        <f>VLOOKUP(A219&amp;TEXT(D219,"mmmm")&amp;YEAR(D219),'[1]Detalle C-Fecha'!$D:$E,2,FALSE)</f>
        <v>Sin Operación</v>
      </c>
      <c r="D219" s="8">
        <v>46208</v>
      </c>
      <c r="E219" s="19"/>
    </row>
    <row r="220" spans="1:5" x14ac:dyDescent="0.3">
      <c r="A220" s="12" t="s">
        <v>81</v>
      </c>
      <c r="B220" s="9" t="s">
        <v>0</v>
      </c>
      <c r="C220" s="11" t="str">
        <f>VLOOKUP(A220&amp;TEXT(D220,"mmmm")&amp;YEAR(D220),'[1]Detalle C-Fecha'!$D:$E,2,FALSE)</f>
        <v>Sin Operación</v>
      </c>
      <c r="D220" s="8">
        <v>46208</v>
      </c>
      <c r="E220" s="19"/>
    </row>
    <row r="221" spans="1:5" x14ac:dyDescent="0.3">
      <c r="A221" s="12" t="s">
        <v>56</v>
      </c>
      <c r="B221" s="9" t="s">
        <v>0</v>
      </c>
      <c r="C221" s="11" t="str">
        <f>VLOOKUP(A221&amp;TEXT(D221,"mmmm")&amp;YEAR(D221),'[1]Detalle C-Fecha'!$D:$E,2,FALSE)</f>
        <v>Sin Operación</v>
      </c>
      <c r="D221" s="8">
        <v>46208</v>
      </c>
      <c r="E221" s="19"/>
    </row>
    <row r="222" spans="1:5" x14ac:dyDescent="0.3">
      <c r="A222" s="12" t="s">
        <v>53</v>
      </c>
      <c r="B222" s="9" t="s">
        <v>0</v>
      </c>
      <c r="C222" s="11" t="str">
        <f>VLOOKUP(A222&amp;TEXT(D222,"mmmm")&amp;YEAR(D222),'[1]Detalle C-Fecha'!$D:$E,2,FALSE)</f>
        <v>Sin Operación</v>
      </c>
      <c r="D222" s="8">
        <v>46208</v>
      </c>
      <c r="E222" s="19"/>
    </row>
    <row r="223" spans="1:5" x14ac:dyDescent="0.3">
      <c r="A223" s="12" t="s">
        <v>52</v>
      </c>
      <c r="B223" s="9" t="s">
        <v>0</v>
      </c>
      <c r="C223" s="11" t="str">
        <f>VLOOKUP(A223&amp;TEXT(D223,"mmmm")&amp;YEAR(D223),'[1]Detalle C-Fecha'!$D:$E,2,FALSE)</f>
        <v>Sin Operación</v>
      </c>
      <c r="D223" s="8">
        <v>46208</v>
      </c>
      <c r="E223" s="19"/>
    </row>
    <row r="224" spans="1:5" x14ac:dyDescent="0.3">
      <c r="A224" s="12" t="s">
        <v>51</v>
      </c>
      <c r="B224" s="9" t="s">
        <v>0</v>
      </c>
      <c r="C224" s="11" t="str">
        <f>VLOOKUP(A224&amp;TEXT(D224,"mmmm")&amp;YEAR(D224),'[1]Detalle C-Fecha'!$D:$E,2,FALSE)</f>
        <v>Sin Operación</v>
      </c>
      <c r="D224" s="8">
        <v>46208</v>
      </c>
      <c r="E224" s="19"/>
    </row>
    <row r="225" spans="1:5" x14ac:dyDescent="0.3">
      <c r="A225" s="12" t="s">
        <v>50</v>
      </c>
      <c r="B225" s="9" t="s">
        <v>0</v>
      </c>
      <c r="C225" s="11" t="str">
        <f>VLOOKUP(A225&amp;TEXT(D225,"mmmm")&amp;YEAR(D225),'[1]Detalle C-Fecha'!$D:$E,2,FALSE)</f>
        <v>Sin Operación</v>
      </c>
      <c r="D225" s="8">
        <v>46208</v>
      </c>
      <c r="E225" s="19"/>
    </row>
    <row r="226" spans="1:5" x14ac:dyDescent="0.3">
      <c r="A226" s="12" t="s">
        <v>49</v>
      </c>
      <c r="B226" s="9" t="s">
        <v>0</v>
      </c>
      <c r="C226" s="11" t="str">
        <f>VLOOKUP(A226&amp;TEXT(D226,"mmmm")&amp;YEAR(D226),'[1]Detalle C-Fecha'!$D:$E,2,FALSE)</f>
        <v>Sin Operación</v>
      </c>
      <c r="D226" s="8">
        <v>46208</v>
      </c>
      <c r="E226" s="19"/>
    </row>
    <row r="227" spans="1:5" x14ac:dyDescent="0.3">
      <c r="A227" s="12" t="s">
        <v>48</v>
      </c>
      <c r="B227" s="9" t="s">
        <v>0</v>
      </c>
      <c r="C227" s="11" t="str">
        <f>VLOOKUP(A227&amp;TEXT(D227,"mmmm")&amp;YEAR(D227),'[1]Detalle C-Fecha'!$D:$E,2,FALSE)</f>
        <v>Sin Operación</v>
      </c>
      <c r="D227" s="8">
        <v>46208</v>
      </c>
      <c r="E227" s="19"/>
    </row>
    <row r="228" spans="1:5" x14ac:dyDescent="0.3">
      <c r="A228" s="12" t="s">
        <v>45</v>
      </c>
      <c r="B228" s="9" t="s">
        <v>0</v>
      </c>
      <c r="C228" s="11" t="str">
        <f>VLOOKUP(A228&amp;TEXT(D228,"mmmm")&amp;YEAR(D228),'[1]Detalle C-Fecha'!$D:$E,2,FALSE)</f>
        <v>Sin Operación</v>
      </c>
      <c r="D228" s="8">
        <v>46208</v>
      </c>
      <c r="E228" s="19"/>
    </row>
    <row r="229" spans="1:5" x14ac:dyDescent="0.3">
      <c r="A229" s="12" t="s">
        <v>44</v>
      </c>
      <c r="B229" s="9" t="s">
        <v>0</v>
      </c>
      <c r="C229" s="11" t="str">
        <f>VLOOKUP(A229&amp;TEXT(D229,"mmmm")&amp;YEAR(D229),'[1]Detalle C-Fecha'!$D:$E,2,FALSE)</f>
        <v>Sin Operación</v>
      </c>
      <c r="D229" s="8">
        <v>46208</v>
      </c>
      <c r="E229" s="19"/>
    </row>
    <row r="230" spans="1:5" x14ac:dyDescent="0.3">
      <c r="A230" s="12" t="s">
        <v>43</v>
      </c>
      <c r="B230" s="9" t="s">
        <v>0</v>
      </c>
      <c r="C230" s="11" t="str">
        <f>VLOOKUP(A230&amp;TEXT(D230,"mmmm")&amp;YEAR(D230),'[1]Detalle C-Fecha'!$D:$E,2,FALSE)</f>
        <v>Sin Operación</v>
      </c>
      <c r="D230" s="8">
        <v>46208</v>
      </c>
      <c r="E230" s="19"/>
    </row>
    <row r="231" spans="1:5" x14ac:dyDescent="0.3">
      <c r="A231" s="12" t="s">
        <v>79</v>
      </c>
      <c r="B231" s="9" t="s">
        <v>0</v>
      </c>
      <c r="C231" s="11" t="str">
        <f>VLOOKUP(A231&amp;TEXT(D231,"mmmm")&amp;YEAR(D231),'[1]Detalle C-Fecha'!$D:$E,2,FALSE)</f>
        <v>Sin Operación</v>
      </c>
      <c r="D231" s="8">
        <v>46208</v>
      </c>
      <c r="E231" s="19"/>
    </row>
    <row r="232" spans="1:5" x14ac:dyDescent="0.3">
      <c r="A232" s="12" t="s">
        <v>78</v>
      </c>
      <c r="B232" s="9" t="s">
        <v>0</v>
      </c>
      <c r="C232" s="11" t="str">
        <f>VLOOKUP(A232&amp;TEXT(D232,"mmmm")&amp;YEAR(D232),'[1]Detalle C-Fecha'!$D:$E,2,FALSE)</f>
        <v>Sin Operación</v>
      </c>
      <c r="D232" s="8">
        <v>46208</v>
      </c>
      <c r="E232" s="19"/>
    </row>
    <row r="233" spans="1:5" x14ac:dyDescent="0.3">
      <c r="A233" s="12" t="s">
        <v>32</v>
      </c>
      <c r="B233" s="9" t="s">
        <v>0</v>
      </c>
      <c r="C233" s="11" t="str">
        <f>VLOOKUP(A233&amp;TEXT(D233,"mmmm")&amp;YEAR(D233),'[1]Detalle C-Fecha'!$D:$E,2,FALSE)</f>
        <v>Sin Operación</v>
      </c>
      <c r="D233" s="8">
        <v>46208</v>
      </c>
      <c r="E233" s="19"/>
    </row>
    <row r="234" spans="1:5" x14ac:dyDescent="0.3">
      <c r="A234" s="12" t="s">
        <v>31</v>
      </c>
      <c r="B234" s="9" t="s">
        <v>0</v>
      </c>
      <c r="C234" s="11" t="str">
        <f>VLOOKUP(A234&amp;TEXT(D234,"mmmm")&amp;YEAR(D234),'[1]Detalle C-Fecha'!$D:$E,2,FALSE)</f>
        <v>Sin Operación</v>
      </c>
      <c r="D234" s="8">
        <v>46208</v>
      </c>
      <c r="E234" s="19"/>
    </row>
    <row r="235" spans="1:5" x14ac:dyDescent="0.3">
      <c r="A235" s="12" t="s">
        <v>30</v>
      </c>
      <c r="B235" s="9" t="s">
        <v>0</v>
      </c>
      <c r="C235" s="11" t="str">
        <f>VLOOKUP(A235&amp;TEXT(D235,"mmmm")&amp;YEAR(D235),'[1]Detalle C-Fecha'!$D:$E,2,FALSE)</f>
        <v>Sin Operación</v>
      </c>
      <c r="D235" s="8">
        <v>46208</v>
      </c>
      <c r="E235" s="19"/>
    </row>
    <row r="236" spans="1:5" x14ac:dyDescent="0.3">
      <c r="A236" s="12" t="s">
        <v>76</v>
      </c>
      <c r="B236" s="9" t="s">
        <v>0</v>
      </c>
      <c r="C236" s="11" t="str">
        <f>VLOOKUP(A236&amp;TEXT(D236,"mmmm")&amp;YEAR(D236),'[1]Detalle C-Fecha'!$D:$E,2,FALSE)</f>
        <v>Sin Operación</v>
      </c>
      <c r="D236" s="8">
        <v>46208</v>
      </c>
      <c r="E236" s="19"/>
    </row>
    <row r="237" spans="1:5" x14ac:dyDescent="0.3">
      <c r="A237" s="12" t="s">
        <v>74</v>
      </c>
      <c r="B237" s="9" t="s">
        <v>0</v>
      </c>
      <c r="C237" s="11" t="str">
        <f>VLOOKUP(A237&amp;TEXT(D237,"mmmm")&amp;YEAR(D237),'[1]Detalle C-Fecha'!$D:$E,2,FALSE)</f>
        <v>Sin Operación</v>
      </c>
      <c r="D237" s="8">
        <v>46208</v>
      </c>
      <c r="E237" s="19"/>
    </row>
    <row r="238" spans="1:5" x14ac:dyDescent="0.3">
      <c r="A238" s="12" t="s">
        <v>73</v>
      </c>
      <c r="B238" s="9" t="s">
        <v>0</v>
      </c>
      <c r="C238" s="11" t="str">
        <f>VLOOKUP(A238&amp;TEXT(D238,"mmmm")&amp;YEAR(D238),'[1]Detalle C-Fecha'!$D:$E,2,FALSE)</f>
        <v>Sin Operación</v>
      </c>
      <c r="D238" s="8">
        <v>46208</v>
      </c>
      <c r="E238" s="19"/>
    </row>
    <row r="239" spans="1:5" x14ac:dyDescent="0.3">
      <c r="A239" s="12" t="s">
        <v>83</v>
      </c>
      <c r="B239" s="9" t="s">
        <v>0</v>
      </c>
      <c r="C239" s="11" t="str">
        <f>VLOOKUP(A239&amp;TEXT(D239,"mmmm")&amp;YEAR(D239),'[1]Detalle C-Fecha'!$D:$E,2,FALSE)</f>
        <v>SUC_GAL - Sucursal General Alvear</v>
      </c>
      <c r="D239" s="8">
        <v>46208</v>
      </c>
      <c r="E239" s="19"/>
    </row>
    <row r="240" spans="1:5" x14ac:dyDescent="0.3">
      <c r="A240" s="12" t="s">
        <v>60</v>
      </c>
      <c r="B240" s="9" t="s">
        <v>0</v>
      </c>
      <c r="C240" s="11" t="str">
        <f>VLOOKUP(A240&amp;TEXT(D240,"mmmm")&amp;YEAR(D240),'[1]Detalle C-Fecha'!$D:$E,2,FALSE)</f>
        <v>SUC_MAL - Sucursal Malargüe</v>
      </c>
      <c r="D240" s="8">
        <v>46208</v>
      </c>
      <c r="E240" s="19"/>
    </row>
    <row r="241" spans="1:5" x14ac:dyDescent="0.3">
      <c r="A241" s="12" t="s">
        <v>59</v>
      </c>
      <c r="B241" s="9" t="s">
        <v>0</v>
      </c>
      <c r="C241" s="11" t="str">
        <f>VLOOKUP(A241&amp;TEXT(D241,"mmmm")&amp;YEAR(D241),'[1]Detalle C-Fecha'!$D:$E,2,FALSE)</f>
        <v>SUC_MEN - Sucursal Mendoza</v>
      </c>
      <c r="D241" s="8">
        <v>46208</v>
      </c>
      <c r="E241" s="19"/>
    </row>
    <row r="242" spans="1:5" x14ac:dyDescent="0.3">
      <c r="A242" s="12" t="s">
        <v>80</v>
      </c>
      <c r="B242" s="9" t="s">
        <v>0</v>
      </c>
      <c r="C242" s="11" t="str">
        <f>VLOOKUP(A242&amp;TEXT(D242,"mmmm")&amp;YEAR(D242),'[1]Detalle C-Fecha'!$D:$E,2,FALSE)</f>
        <v>SUC_MEN - Sucursal Mendoza</v>
      </c>
      <c r="D242" s="8">
        <v>46208</v>
      </c>
      <c r="E242" s="19"/>
    </row>
    <row r="243" spans="1:5" x14ac:dyDescent="0.3">
      <c r="A243" s="12" t="s">
        <v>55</v>
      </c>
      <c r="B243" s="9" t="s">
        <v>0</v>
      </c>
      <c r="C243" s="11" t="str">
        <f>VLOOKUP(A243&amp;TEXT(D243,"mmmm")&amp;YEAR(D243),'[1]Detalle C-Fecha'!$D:$E,2,FALSE)</f>
        <v>SUC_SLU - Sucursal San Luis</v>
      </c>
      <c r="D243" s="8">
        <v>46208</v>
      </c>
      <c r="E243" s="19"/>
    </row>
    <row r="244" spans="1:5" x14ac:dyDescent="0.3">
      <c r="A244" s="12" t="s">
        <v>68</v>
      </c>
      <c r="B244" s="9" t="s">
        <v>0</v>
      </c>
      <c r="C244" s="11" t="str">
        <f>VLOOKUP(A244&amp;TEXT(D244,"mmmm")&amp;YEAR(D244),'[1]Detalle C-Fecha'!$D:$E,2,FALSE)</f>
        <v>SUC_SRA - Sucursal San Rafael</v>
      </c>
      <c r="D244" s="8">
        <v>46208</v>
      </c>
      <c r="E244" s="19"/>
    </row>
    <row r="245" spans="1:5" x14ac:dyDescent="0.3">
      <c r="A245" s="12" t="s">
        <v>77</v>
      </c>
      <c r="B245" s="9" t="s">
        <v>0</v>
      </c>
      <c r="C245" s="11" t="str">
        <f>VLOOKUP(A245&amp;TEXT(D245,"mmmm")&amp;YEAR(D245),'[1]Detalle C-Fecha'!$D:$E,2,FALSE)</f>
        <v>Topacio</v>
      </c>
      <c r="D245" s="8">
        <v>46208</v>
      </c>
      <c r="E245" s="19"/>
    </row>
    <row r="246" spans="1:5" x14ac:dyDescent="0.3">
      <c r="A246" s="12" t="s">
        <v>40</v>
      </c>
      <c r="B246" s="9" t="s">
        <v>0</v>
      </c>
      <c r="C246" s="11" t="str">
        <f>VLOOKUP(A246&amp;TEXT(D246,"mmmm")&amp;YEAR(D246),'[1]Detalle C-Fecha'!$D:$E,2,FALSE)</f>
        <v>Unilever - Unilever de Arg. S.A.</v>
      </c>
      <c r="D246" s="8">
        <v>46208</v>
      </c>
      <c r="E246" s="19"/>
    </row>
    <row r="247" spans="1:5" x14ac:dyDescent="0.3">
      <c r="A247" s="12" t="s">
        <v>23</v>
      </c>
      <c r="B247" s="9" t="s">
        <v>0</v>
      </c>
      <c r="C247" s="11" t="str">
        <f>VLOOKUP(A247&amp;TEXT(D247,"mmmm")&amp;YEAR(D247),'[1]Detalle C-Fecha'!$D:$E,2,FALSE)</f>
        <v>Unilever - Unilever de Arg. S.A.</v>
      </c>
      <c r="D247" s="8">
        <v>46208</v>
      </c>
      <c r="E247" s="19"/>
    </row>
    <row r="248" spans="1:5" x14ac:dyDescent="0.3">
      <c r="A248" s="15" t="s">
        <v>84</v>
      </c>
      <c r="B248" s="9" t="s">
        <v>0</v>
      </c>
      <c r="C248" s="11" t="str">
        <f>VLOOKUP(A248&amp;TEXT(D248,"mmmm")&amp;YEAR(D248),'[1]Detalle C-Fecha'!$D:$E,2,FALSE)</f>
        <v>ADA_CH - Danone Arg. S.A. - Chascomus</v>
      </c>
      <c r="D248" s="13">
        <v>46247.395527343288</v>
      </c>
      <c r="E248" s="19"/>
    </row>
    <row r="249" spans="1:5" x14ac:dyDescent="0.3">
      <c r="A249" s="15" t="s">
        <v>168</v>
      </c>
      <c r="B249" s="9" t="s">
        <v>0</v>
      </c>
      <c r="C249" s="11" t="str">
        <f>VLOOKUP(A249&amp;"agosto"&amp;2026,'[1]Detalle C-Fecha'!$D:$E,2,FALSE)</f>
        <v>CMQ_TTE - QUILMES TTE</v>
      </c>
      <c r="D249" s="13">
        <v>46334.087585714828</v>
      </c>
      <c r="E249" s="19"/>
    </row>
    <row r="250" spans="1:5" x14ac:dyDescent="0.3">
      <c r="A250" s="15" t="s">
        <v>82</v>
      </c>
      <c r="B250" s="9" t="s">
        <v>0</v>
      </c>
      <c r="C250" s="11" t="str">
        <f>VLOOKUP(A250&amp;TEXT(D250,"mmmm")&amp;YEAR(D250),'[1]Detalle C-Fecha'!$D:$E,2,FALSE)</f>
        <v>ADA_CH - Danone Arg. S.A. - Chascomus</v>
      </c>
      <c r="D250" s="13">
        <v>46235</v>
      </c>
      <c r="E250" s="19"/>
    </row>
    <row r="251" spans="1:5" x14ac:dyDescent="0.3">
      <c r="A251" s="15" t="s">
        <v>169</v>
      </c>
      <c r="B251" s="9" t="s">
        <v>0</v>
      </c>
      <c r="C251" s="11" t="str">
        <f>VLOOKUP(A251&amp;"agosto"&amp;2026,'[1]Detalle C-Fecha'!$D:$E,2,FALSE)</f>
        <v>Unilever - Unilever de Arg. S.A.</v>
      </c>
      <c r="D251" s="13">
        <v>46367.40573588846</v>
      </c>
      <c r="E251" s="19"/>
    </row>
    <row r="252" spans="1:5" x14ac:dyDescent="0.3">
      <c r="A252" s="15" t="s">
        <v>170</v>
      </c>
      <c r="B252" s="9" t="s">
        <v>0</v>
      </c>
      <c r="C252" s="11" t="str">
        <f>VLOOKUP(A252&amp;TEXT(D252,"mmmm")&amp;YEAR(D252),'[1]Detalle C-Fecha'!$D:$E,2,FALSE)</f>
        <v>Topacio</v>
      </c>
      <c r="D252" s="13">
        <v>46235</v>
      </c>
      <c r="E252" s="19"/>
    </row>
    <row r="253" spans="1:5" x14ac:dyDescent="0.3">
      <c r="A253" s="15" t="s">
        <v>81</v>
      </c>
      <c r="B253" s="9" t="s">
        <v>0</v>
      </c>
      <c r="C253" s="11" t="str">
        <f>VLOOKUP(A253&amp;TEXT(D253,"mmmm")&amp;YEAR(D253),'[1]Detalle C-Fecha'!$D:$E,2,FALSE)</f>
        <v>SUC_MEN - Sucursal Mendoza</v>
      </c>
      <c r="D253" s="13">
        <v>46235</v>
      </c>
      <c r="E253" s="19"/>
    </row>
    <row r="254" spans="1:5" x14ac:dyDescent="0.3">
      <c r="A254" s="15" t="s">
        <v>80</v>
      </c>
      <c r="B254" s="9" t="s">
        <v>0</v>
      </c>
      <c r="C254" s="11" t="str">
        <f>VLOOKUP(A254&amp;TEXT(D254,"mmmm")&amp;YEAR(D254),'[1]Detalle C-Fecha'!$D:$E,2,FALSE)</f>
        <v>SUC_MEN - Sucursal Mendoza</v>
      </c>
      <c r="D254" s="13">
        <v>46235</v>
      </c>
      <c r="E254" s="19"/>
    </row>
    <row r="255" spans="1:5" x14ac:dyDescent="0.3">
      <c r="A255" s="15" t="s">
        <v>171</v>
      </c>
      <c r="B255" s="9" t="s">
        <v>0</v>
      </c>
      <c r="C255" s="11" t="str">
        <f>VLOOKUP(A255&amp;TEXT(D255,"mmmm")&amp;YEAR(D255),'[1]Detalle C-Fecha'!$D:$E,2,FALSE)</f>
        <v>Sin Operación</v>
      </c>
      <c r="D255" s="13">
        <v>46235</v>
      </c>
      <c r="E255" s="19"/>
    </row>
    <row r="256" spans="1:5" x14ac:dyDescent="0.3">
      <c r="A256" s="15" t="s">
        <v>172</v>
      </c>
      <c r="B256" s="9" t="s">
        <v>0</v>
      </c>
      <c r="C256" s="11" t="str">
        <f>VLOOKUP(A256&amp;TEXT(D256,"mmmm")&amp;YEAR(D256),'[1]Detalle C-Fecha'!$D:$E,2,FALSE)</f>
        <v>CCUCoAZA</v>
      </c>
      <c r="D256" s="13">
        <v>46235</v>
      </c>
      <c r="E256" s="19"/>
    </row>
    <row r="257" spans="1:5" x14ac:dyDescent="0.3">
      <c r="A257" s="15" t="s">
        <v>79</v>
      </c>
      <c r="B257" s="9" t="s">
        <v>0</v>
      </c>
      <c r="C257" s="11" t="str">
        <f>VLOOKUP(A257&amp;TEXT(D257,"mmmm")&amp;YEAR(D257),'[1]Detalle C-Fecha'!$D:$E,2,FALSE)</f>
        <v>Sin Operación</v>
      </c>
      <c r="D257" s="13">
        <v>46235</v>
      </c>
      <c r="E257" s="19"/>
    </row>
    <row r="258" spans="1:5" x14ac:dyDescent="0.3">
      <c r="A258" s="15" t="s">
        <v>78</v>
      </c>
      <c r="B258" s="9" t="s">
        <v>0</v>
      </c>
      <c r="C258" s="11" t="str">
        <f>VLOOKUP(A258&amp;TEXT(D258,"mmmm")&amp;YEAR(D258),'[1]Detalle C-Fecha'!$D:$E,2,FALSE)</f>
        <v>Sin Operación</v>
      </c>
      <c r="D258" s="13">
        <v>46235</v>
      </c>
      <c r="E258" s="19"/>
    </row>
    <row r="259" spans="1:5" x14ac:dyDescent="0.3">
      <c r="A259" s="15" t="s">
        <v>173</v>
      </c>
      <c r="B259" s="9" t="s">
        <v>0</v>
      </c>
      <c r="C259" s="11" t="str">
        <f>VLOOKUP(A259&amp;"agosto"&amp;2026,'[1]Detalle C-Fecha'!$D:$E,2,FALSE)</f>
        <v>CCUCoAZA</v>
      </c>
      <c r="D259" s="13">
        <v>46352.320362349201</v>
      </c>
      <c r="E259" s="19"/>
    </row>
    <row r="260" spans="1:5" x14ac:dyDescent="0.3">
      <c r="A260" s="15" t="s">
        <v>76</v>
      </c>
      <c r="B260" s="9" t="s">
        <v>0</v>
      </c>
      <c r="C260" s="11" t="str">
        <f>VLOOKUP(A260&amp;TEXT(D260,"mmmm")&amp;YEAR(D260),'[1]Detalle C-Fecha'!$D:$E,2,FALSE)</f>
        <v>Sin Operación</v>
      </c>
      <c r="D260" s="13">
        <v>46235</v>
      </c>
      <c r="E260" s="19"/>
    </row>
    <row r="261" spans="1:5" x14ac:dyDescent="0.3">
      <c r="A261" s="15" t="s">
        <v>174</v>
      </c>
      <c r="B261" s="9" t="s">
        <v>0</v>
      </c>
      <c r="C261" s="11" t="str">
        <f>VLOOKUP(A261&amp;TEXT(D261,"mmmm")&amp;YEAR(D261),'[1]Detalle C-Fecha'!$D:$E,2,FALSE)</f>
        <v>AGN_TTE - AGUANORT - Transporte</v>
      </c>
      <c r="D261" s="13">
        <v>46235</v>
      </c>
      <c r="E261" s="19"/>
    </row>
    <row r="262" spans="1:5" x14ac:dyDescent="0.3">
      <c r="A262" s="15" t="s">
        <v>175</v>
      </c>
      <c r="B262" s="9" t="s">
        <v>0</v>
      </c>
      <c r="C262" s="11" t="str">
        <f>VLOOKUP(A262&amp;TEXT(D262,"mmmm")&amp;YEAR(D262),'[1]Detalle C-Fecha'!$D:$E,2,FALSE)</f>
        <v>AGN_TTE - AGUANORT - Transporte</v>
      </c>
      <c r="D262" s="13">
        <v>46235</v>
      </c>
      <c r="E262" s="19"/>
    </row>
    <row r="263" spans="1:5" x14ac:dyDescent="0.3">
      <c r="A263" s="15" t="s">
        <v>75</v>
      </c>
      <c r="B263" s="9" t="s">
        <v>0</v>
      </c>
      <c r="C263" s="11" t="str">
        <f>VLOOKUP(A263&amp;TEXT(D263,"mmmm")&amp;YEAR(D263),'[1]Detalle C-Fecha'!$D:$E,2,FALSE)</f>
        <v>AGN_TTE - AGUANORT - Transporte</v>
      </c>
      <c r="D263" s="13">
        <v>46235</v>
      </c>
      <c r="E263" s="19"/>
    </row>
    <row r="264" spans="1:5" x14ac:dyDescent="0.3">
      <c r="A264" s="15" t="s">
        <v>74</v>
      </c>
      <c r="B264" s="9" t="s">
        <v>0</v>
      </c>
      <c r="C264" s="11" t="str">
        <f>VLOOKUP(A264&amp;TEXT(D264,"mmmm")&amp;YEAR(D264),'[1]Detalle C-Fecha'!$D:$E,2,FALSE)</f>
        <v>Sin Operación</v>
      </c>
      <c r="D264" s="13">
        <v>46235</v>
      </c>
      <c r="E264" s="19"/>
    </row>
    <row r="265" spans="1:5" x14ac:dyDescent="0.3">
      <c r="A265" s="15" t="s">
        <v>73</v>
      </c>
      <c r="B265" s="9" t="s">
        <v>0</v>
      </c>
      <c r="C265" s="11" t="str">
        <f>VLOOKUP(A265&amp;TEXT(D265,"mmmm")&amp;YEAR(D265),'[1]Detalle C-Fecha'!$D:$E,2,FALSE)</f>
        <v>Sin Operación</v>
      </c>
      <c r="D265" s="13">
        <v>46235</v>
      </c>
      <c r="E265" s="19"/>
    </row>
    <row r="266" spans="1:5" x14ac:dyDescent="0.3">
      <c r="A266" s="15" t="s">
        <v>176</v>
      </c>
      <c r="B266" s="9" t="s">
        <v>0</v>
      </c>
      <c r="C266" s="11" t="str">
        <f>VLOOKUP(A266&amp;TEXT(D266,"mmmm")&amp;YEAR(D266),'[1]Detalle C-Fecha'!$D:$E,2,FALSE)</f>
        <v>Papelera - Papelera del Plata S.A.</v>
      </c>
      <c r="D266" s="13">
        <v>46235.413792067593</v>
      </c>
      <c r="E266" s="19"/>
    </row>
    <row r="267" spans="1:5" x14ac:dyDescent="0.3">
      <c r="A267" s="15" t="s">
        <v>72</v>
      </c>
      <c r="B267" s="9" t="s">
        <v>0</v>
      </c>
      <c r="C267" s="11" t="str">
        <f>VLOOKUP(A267&amp;TEXT(D267,"mmmm")&amp;YEAR(D267),'[1]Detalle C-Fecha'!$D:$E,2,FALSE)</f>
        <v>CENCOMLD - Cencosud SA - Mendoza</v>
      </c>
      <c r="D267" s="13">
        <v>46265</v>
      </c>
      <c r="E267" s="19"/>
    </row>
    <row r="268" spans="1:5" x14ac:dyDescent="0.3">
      <c r="A268" s="15" t="s">
        <v>71</v>
      </c>
      <c r="B268" s="9" t="s">
        <v>0</v>
      </c>
      <c r="C268" s="11" t="str">
        <f>VLOOKUP(A268&amp;TEXT(D268,"mmmm")&amp;YEAR(D268),'[1]Detalle C-Fecha'!$D:$E,2,FALSE)</f>
        <v>CMQ_TTE - QUILMES TTE</v>
      </c>
      <c r="D268" s="13">
        <v>46235</v>
      </c>
      <c r="E268" s="19"/>
    </row>
    <row r="269" spans="1:5" x14ac:dyDescent="0.3">
      <c r="A269" s="15" t="s">
        <v>70</v>
      </c>
      <c r="B269" s="9" t="s">
        <v>0</v>
      </c>
      <c r="C269" s="11" t="str">
        <f>VLOOKUP(A269&amp;TEXT(D269,"mmmm")&amp;YEAR(D269),'[1]Detalle C-Fecha'!$D:$E,2,FALSE)</f>
        <v>Papelera - Papelera del Plata S.A.</v>
      </c>
      <c r="D269" s="13">
        <v>46256.177175187731</v>
      </c>
      <c r="E269" s="19"/>
    </row>
    <row r="270" spans="1:5" x14ac:dyDescent="0.3">
      <c r="A270" s="15" t="s">
        <v>69</v>
      </c>
      <c r="B270" s="9" t="s">
        <v>0</v>
      </c>
      <c r="C270" s="11" t="str">
        <f>VLOOKUP(A270&amp;TEXT(D270,"mmmm")&amp;YEAR(D270),'[1]Detalle C-Fecha'!$D:$E,2,FALSE)</f>
        <v>SUC_ROS - Sucursal Rosario</v>
      </c>
      <c r="D270" s="13">
        <v>46245.496328731679</v>
      </c>
      <c r="E270" s="19"/>
    </row>
    <row r="271" spans="1:5" x14ac:dyDescent="0.3">
      <c r="A271" s="15" t="s">
        <v>177</v>
      </c>
      <c r="B271" s="9" t="s">
        <v>0</v>
      </c>
      <c r="C271" s="11" t="str">
        <f>VLOOKUP(A271&amp;"agosto"&amp;2026,'[1]Detalle C-Fecha'!$D:$E,2,FALSE)</f>
        <v>CCUCoAZA</v>
      </c>
      <c r="D271" s="13">
        <v>46387.831632626061</v>
      </c>
      <c r="E271" s="19"/>
    </row>
    <row r="272" spans="1:5" x14ac:dyDescent="0.3">
      <c r="A272" s="15" t="s">
        <v>68</v>
      </c>
      <c r="B272" s="9" t="s">
        <v>0</v>
      </c>
      <c r="C272" s="11" t="str">
        <f>VLOOKUP(A272&amp;TEXT(D272,"mmmm")&amp;YEAR(D272),'[1]Detalle C-Fecha'!$D:$E,2,FALSE)</f>
        <v>SUC_SRA - Sucursal San Rafael</v>
      </c>
      <c r="D272" s="13">
        <v>46235</v>
      </c>
      <c r="E272" s="19"/>
    </row>
    <row r="273" spans="1:5" x14ac:dyDescent="0.3">
      <c r="A273" s="15" t="s">
        <v>178</v>
      </c>
      <c r="B273" s="9" t="s">
        <v>0</v>
      </c>
      <c r="C273" s="11" t="str">
        <f>VLOOKUP(A273&amp;TEXT(D273,"mmmm")&amp;YEAR(D273),'[1]Detalle C-Fecha'!$D:$E,2,FALSE)</f>
        <v>CCUDyAZA</v>
      </c>
      <c r="D273" s="13">
        <v>46235</v>
      </c>
      <c r="E273" s="19"/>
    </row>
    <row r="274" spans="1:5" x14ac:dyDescent="0.3">
      <c r="A274" s="15" t="s">
        <v>67</v>
      </c>
      <c r="B274" s="9" t="s">
        <v>0</v>
      </c>
      <c r="C274" s="11" t="str">
        <f>VLOOKUP(A274&amp;"agosto"&amp;2026,'[1]Detalle C-Fecha'!$D:$E,2,FALSE)</f>
        <v>Molca</v>
      </c>
      <c r="D274" s="13">
        <v>46372.959325254036</v>
      </c>
      <c r="E274" s="19"/>
    </row>
    <row r="275" spans="1:5" x14ac:dyDescent="0.3">
      <c r="A275" s="15" t="s">
        <v>118</v>
      </c>
      <c r="B275" s="9" t="s">
        <v>0</v>
      </c>
      <c r="C275" s="11" t="str">
        <f>VLOOKUP(A275&amp;TEXT(D275,"mmmm")&amp;YEAR(D275),'[1]Detalle C-Fecha'!$D:$E,2,FALSE)</f>
        <v>SUC_SRA - Sucursal San Rafael</v>
      </c>
      <c r="D275" s="13">
        <v>46256.707637572421</v>
      </c>
      <c r="E275" s="19"/>
    </row>
    <row r="276" spans="1:5" x14ac:dyDescent="0.3">
      <c r="A276" s="15" t="s">
        <v>179</v>
      </c>
      <c r="B276" s="9" t="s">
        <v>0</v>
      </c>
      <c r="C276" s="11" t="str">
        <f>VLOOKUP(A276&amp;"agosto"&amp;2026,'[1]Detalle C-Fecha'!$D:$E,2,FALSE)</f>
        <v>Papelera - Papelera del Plata S.A - Zarate.</v>
      </c>
      <c r="D276" s="13">
        <v>46329.646559234665</v>
      </c>
      <c r="E276" s="19"/>
    </row>
    <row r="277" spans="1:5" x14ac:dyDescent="0.3">
      <c r="A277" s="15" t="s">
        <v>98</v>
      </c>
      <c r="B277" s="9" t="s">
        <v>0</v>
      </c>
      <c r="C277" s="11" t="str">
        <f>VLOOKUP(A277&amp;"agosto"&amp;2026,'[1]Detalle C-Fecha'!$D:$E,2,FALSE)</f>
        <v>SUC_REA - Sucursal Realicó</v>
      </c>
      <c r="D277" s="13">
        <v>46340.518885153069</v>
      </c>
      <c r="E277" s="19"/>
    </row>
    <row r="278" spans="1:5" x14ac:dyDescent="0.3">
      <c r="A278" s="15" t="s">
        <v>180</v>
      </c>
      <c r="B278" s="9" t="s">
        <v>0</v>
      </c>
      <c r="C278" s="11" t="str">
        <f>VLOOKUP(A278&amp;TEXT(D278,"mmmm")&amp;YEAR(D278),'[1]Detalle C-Fecha'!$D:$E,2,FALSE)</f>
        <v>CENCO_MZ - Cencosud SA - Mendoza</v>
      </c>
      <c r="D278" s="13">
        <v>46235</v>
      </c>
      <c r="E278" s="19"/>
    </row>
    <row r="279" spans="1:5" x14ac:dyDescent="0.3">
      <c r="A279" s="15" t="s">
        <v>66</v>
      </c>
      <c r="B279" s="9" t="s">
        <v>0</v>
      </c>
      <c r="C279" s="11" t="str">
        <f>VLOOKUP(A279&amp;TEXT(D279,"mmmm")&amp;YEAR(D279),'[1]Detalle C-Fecha'!$D:$E,2,FALSE)</f>
        <v>CIMSA_SRA</v>
      </c>
      <c r="D279" s="13">
        <v>46235</v>
      </c>
      <c r="E279" s="19"/>
    </row>
    <row r="280" spans="1:5" x14ac:dyDescent="0.3">
      <c r="A280" s="15" t="s">
        <v>181</v>
      </c>
      <c r="B280" s="9" t="s">
        <v>0</v>
      </c>
      <c r="C280" s="11" t="str">
        <f>VLOOKUP(A280&amp;"agosto"&amp;2026,'[1]Detalle C-Fecha'!$D:$E,2,FALSE)</f>
        <v>CIMSA_CI</v>
      </c>
      <c r="D280" s="13">
        <v>46341.352412202155</v>
      </c>
      <c r="E280" s="19"/>
    </row>
    <row r="281" spans="1:5" x14ac:dyDescent="0.3">
      <c r="A281" s="15" t="s">
        <v>65</v>
      </c>
      <c r="B281" s="9" t="s">
        <v>0</v>
      </c>
      <c r="C281" s="11" t="str">
        <f>VLOOKUP(A281&amp;TEXT(D281,"mmmm")&amp;YEAR(D281),'[1]Detalle C-Fecha'!$D:$E,2,FALSE)</f>
        <v>ADA_CH - Danone Arg. S.A. - Chascomus</v>
      </c>
      <c r="D281" s="13">
        <v>46236.312234004261</v>
      </c>
      <c r="E281" s="19"/>
    </row>
    <row r="282" spans="1:5" x14ac:dyDescent="0.3">
      <c r="A282" s="15" t="s">
        <v>64</v>
      </c>
      <c r="B282" s="9" t="s">
        <v>0</v>
      </c>
      <c r="C282" s="11" t="str">
        <f>VLOOKUP(A282&amp;TEXT(D282,"mmmm")&amp;YEAR(D282),'[1]Detalle C-Fecha'!$D:$E,2,FALSE)</f>
        <v>CENCO_SJ - Cencosud SA - San Juan</v>
      </c>
      <c r="D282" s="13">
        <v>46235</v>
      </c>
      <c r="E282" s="19"/>
    </row>
    <row r="283" spans="1:5" x14ac:dyDescent="0.3">
      <c r="A283" s="15" t="s">
        <v>62</v>
      </c>
      <c r="B283" s="9" t="s">
        <v>0</v>
      </c>
      <c r="C283" s="11" t="str">
        <f>VLOOKUP(A283&amp;TEXT(D283,"mmmm")&amp;YEAR(D283),'[1]Detalle C-Fecha'!$D:$E,2,FALSE)</f>
        <v>Sin Operación</v>
      </c>
      <c r="D283" s="13">
        <v>46235</v>
      </c>
      <c r="E283" s="19"/>
    </row>
    <row r="284" spans="1:5" x14ac:dyDescent="0.3">
      <c r="A284" s="15" t="s">
        <v>86</v>
      </c>
      <c r="B284" s="9" t="s">
        <v>0</v>
      </c>
      <c r="C284" s="11" t="str">
        <f>VLOOKUP(A284&amp;"agosto"&amp;2026,'[1]Detalle C-Fecha'!$D:$E,2,FALSE)</f>
        <v>Topacio</v>
      </c>
      <c r="D284" s="13">
        <v>46384.065133894022</v>
      </c>
      <c r="E284" s="19"/>
    </row>
    <row r="285" spans="1:5" x14ac:dyDescent="0.3">
      <c r="A285" s="15" t="s">
        <v>182</v>
      </c>
      <c r="B285" s="9" t="s">
        <v>0</v>
      </c>
      <c r="C285" s="11" t="str">
        <f>VLOOKUP(A285&amp;"agosto"&amp;2026,'[1]Detalle C-Fecha'!$D:$E,2,FALSE)</f>
        <v>Unilever - Unilever de Arg. S.A.</v>
      </c>
      <c r="D285" s="13">
        <v>46360.914531528753</v>
      </c>
      <c r="E285" s="19"/>
    </row>
    <row r="286" spans="1:5" x14ac:dyDescent="0.3">
      <c r="A286" s="15" t="s">
        <v>61</v>
      </c>
      <c r="B286" s="9" t="s">
        <v>0</v>
      </c>
      <c r="C286" s="11" t="str">
        <f>VLOOKUP(A286&amp;TEXT(D286,"mmmm")&amp;YEAR(D286),'[1]Detalle C-Fecha'!$D:$E,2,FALSE)</f>
        <v>BAJA</v>
      </c>
      <c r="D286" s="13">
        <v>46235</v>
      </c>
      <c r="E286" s="19"/>
    </row>
    <row r="287" spans="1:5" x14ac:dyDescent="0.3">
      <c r="A287" s="15" t="s">
        <v>60</v>
      </c>
      <c r="B287" s="9" t="s">
        <v>0</v>
      </c>
      <c r="C287" s="11" t="str">
        <f>VLOOKUP(A287&amp;TEXT(D287,"mmmm")&amp;YEAR(D287),'[1]Detalle C-Fecha'!$D:$E,2,FALSE)</f>
        <v>SUC_MAL - Sucursal Malargüe</v>
      </c>
      <c r="D287" s="13">
        <v>46235</v>
      </c>
      <c r="E287" s="19"/>
    </row>
    <row r="288" spans="1:5" x14ac:dyDescent="0.3">
      <c r="A288" s="15" t="s">
        <v>59</v>
      </c>
      <c r="B288" s="9" t="s">
        <v>0</v>
      </c>
      <c r="C288" s="11" t="str">
        <f>VLOOKUP(A288&amp;TEXT(D288,"mmmm")&amp;YEAR(D288),'[1]Detalle C-Fecha'!$D:$E,2,FALSE)</f>
        <v>SUC_MEN - Sucursal Mendoza</v>
      </c>
      <c r="D288" s="13">
        <v>46235</v>
      </c>
      <c r="E288" s="19"/>
    </row>
    <row r="289" spans="1:5" x14ac:dyDescent="0.3">
      <c r="A289" s="15" t="s">
        <v>58</v>
      </c>
      <c r="B289" s="9" t="s">
        <v>0</v>
      </c>
      <c r="C289" s="11" t="str">
        <f>VLOOKUP(A289&amp;TEXT(D289,"mmmm")&amp;YEAR(D289),'[1]Detalle C-Fecha'!$D:$E,2,FALSE)</f>
        <v>CMQ_TTE - QUILMES TTE</v>
      </c>
      <c r="D289" s="13">
        <v>46235</v>
      </c>
      <c r="E289" s="19"/>
    </row>
    <row r="290" spans="1:5" x14ac:dyDescent="0.3">
      <c r="A290" s="15" t="s">
        <v>57</v>
      </c>
      <c r="B290" s="9" t="s">
        <v>0</v>
      </c>
      <c r="C290" s="11" t="str">
        <f>VLOOKUP(A290&amp;TEXT(D290,"mmmm")&amp;YEAR(D290),'[1]Detalle C-Fecha'!$D:$E,2,FALSE)</f>
        <v>Sin Operación</v>
      </c>
      <c r="D290" s="13">
        <v>46235</v>
      </c>
      <c r="E290" s="19"/>
    </row>
    <row r="291" spans="1:5" x14ac:dyDescent="0.3">
      <c r="A291" s="15" t="s">
        <v>183</v>
      </c>
      <c r="B291" s="9" t="s">
        <v>0</v>
      </c>
      <c r="C291" s="11" t="str">
        <f>VLOOKUP(A291&amp;TEXT(D291,"mmmm")&amp;YEAR(D291),'[1]Detalle C-Fecha'!$D:$E,2,FALSE)</f>
        <v>Unilever - Unilever de Arg. S.A.</v>
      </c>
      <c r="D291" s="13">
        <v>46264.459459679878</v>
      </c>
      <c r="E291" s="19"/>
    </row>
    <row r="292" spans="1:5" x14ac:dyDescent="0.3">
      <c r="A292" s="15" t="s">
        <v>157</v>
      </c>
      <c r="B292" s="9" t="s">
        <v>0</v>
      </c>
      <c r="C292" s="11" t="str">
        <f>VLOOKUP(A292&amp;TEXT(D292,"mmmm")&amp;YEAR(D292),'[1]Detalle C-Fecha'!$D:$E,2,FALSE)</f>
        <v>SUC_CTC - Sucursal Buenos Aires</v>
      </c>
      <c r="D292" s="13">
        <v>46247.753050033985</v>
      </c>
      <c r="E292" s="19"/>
    </row>
    <row r="293" spans="1:5" x14ac:dyDescent="0.3">
      <c r="A293" s="15" t="s">
        <v>56</v>
      </c>
      <c r="B293" s="9" t="s">
        <v>0</v>
      </c>
      <c r="C293" s="11" t="str">
        <f>VLOOKUP(A293&amp;TEXT(D293,"mmmm")&amp;YEAR(D293),'[1]Detalle C-Fecha'!$D:$E,2,FALSE)</f>
        <v>Sin Operación</v>
      </c>
      <c r="D293" s="13">
        <v>46235</v>
      </c>
      <c r="E293" s="19"/>
    </row>
    <row r="294" spans="1:5" x14ac:dyDescent="0.3">
      <c r="A294" s="15" t="s">
        <v>54</v>
      </c>
      <c r="B294" s="9" t="s">
        <v>0</v>
      </c>
      <c r="C294" s="11" t="str">
        <f>VLOOKUP(A294&amp;TEXT(D294,"mmmm")&amp;YEAR(D294),'[1]Detalle C-Fecha'!$D:$E,2,FALSE)</f>
        <v>SUC_MEN - Sucursal Mendoza</v>
      </c>
      <c r="D294" s="13">
        <v>46251.044207766725</v>
      </c>
      <c r="E294" s="19"/>
    </row>
    <row r="295" spans="1:5" x14ac:dyDescent="0.3">
      <c r="A295" s="15" t="s">
        <v>53</v>
      </c>
      <c r="B295" s="9" t="s">
        <v>0</v>
      </c>
      <c r="C295" s="11" t="str">
        <f>VLOOKUP(A295&amp;TEXT(D295,"mmmm")&amp;YEAR(D295),'[1]Detalle C-Fecha'!$D:$E,2,FALSE)</f>
        <v>Sin Operación</v>
      </c>
      <c r="D295" s="13">
        <v>46235</v>
      </c>
      <c r="E295" s="19"/>
    </row>
    <row r="296" spans="1:5" x14ac:dyDescent="0.3">
      <c r="A296" s="15" t="s">
        <v>184</v>
      </c>
      <c r="B296" s="9" t="s">
        <v>0</v>
      </c>
      <c r="C296" s="11" t="str">
        <f>VLOOKUP(A296&amp;"agosto"&amp;2026,'[1]Detalle C-Fecha'!$D:$E,2,FALSE)</f>
        <v>SUC_MEN - Sucursal Mendoza</v>
      </c>
      <c r="D296" s="13">
        <v>46310.551201576898</v>
      </c>
      <c r="E296" s="19"/>
    </row>
    <row r="297" spans="1:5" x14ac:dyDescent="0.3">
      <c r="A297" s="15" t="s">
        <v>52</v>
      </c>
      <c r="B297" s="9" t="s">
        <v>0</v>
      </c>
      <c r="C297" s="11" t="str">
        <f>VLOOKUP(A297&amp;TEXT(D297,"mmmm")&amp;YEAR(D297),'[1]Detalle C-Fecha'!$D:$E,2,FALSE)</f>
        <v>Sin Operación</v>
      </c>
      <c r="D297" s="13">
        <v>46235</v>
      </c>
      <c r="E297" s="19"/>
    </row>
    <row r="298" spans="1:5" x14ac:dyDescent="0.3">
      <c r="A298" s="15" t="s">
        <v>156</v>
      </c>
      <c r="B298" s="9" t="s">
        <v>0</v>
      </c>
      <c r="C298" s="11" t="str">
        <f>VLOOKUP(A298&amp;"agosto"&amp;2026,'[1]Detalle C-Fecha'!$D:$E,2,FALSE)</f>
        <v>CMQ_TTE - QUILMES TTE</v>
      </c>
      <c r="D298" s="13">
        <v>46340.030265264541</v>
      </c>
      <c r="E298" s="19"/>
    </row>
    <row r="299" spans="1:5" x14ac:dyDescent="0.3">
      <c r="A299" s="15" t="s">
        <v>51</v>
      </c>
      <c r="B299" s="9" t="s">
        <v>0</v>
      </c>
      <c r="C299" s="11" t="str">
        <f>VLOOKUP(A299&amp;TEXT(D299,"mmmm")&amp;YEAR(D299),'[1]Detalle C-Fecha'!$D:$E,2,FALSE)</f>
        <v>Sin Operación</v>
      </c>
      <c r="D299" s="13">
        <v>46235</v>
      </c>
      <c r="E299" s="19"/>
    </row>
    <row r="300" spans="1:5" x14ac:dyDescent="0.3">
      <c r="A300" s="15" t="s">
        <v>49</v>
      </c>
      <c r="B300" s="9" t="s">
        <v>0</v>
      </c>
      <c r="C300" s="11" t="str">
        <f>VLOOKUP(A300&amp;TEXT(D300,"mmmm")&amp;YEAR(D300),'[1]Detalle C-Fecha'!$D:$E,2,FALSE)</f>
        <v>Sin Operación</v>
      </c>
      <c r="D300" s="13">
        <v>46235</v>
      </c>
      <c r="E300" s="19"/>
    </row>
    <row r="301" spans="1:5" x14ac:dyDescent="0.3">
      <c r="A301" s="15" t="s">
        <v>154</v>
      </c>
      <c r="B301" s="9" t="s">
        <v>0</v>
      </c>
      <c r="C301" s="11" t="str">
        <f>VLOOKUP(A301&amp;"agosto"&amp;2026,'[1]Detalle C-Fecha'!$D:$E,2,FALSE)</f>
        <v>Papelera - Papelera del Plata S.A - Zarate.</v>
      </c>
      <c r="D301" s="13">
        <v>46323.896810872226</v>
      </c>
      <c r="E301" s="19"/>
    </row>
    <row r="302" spans="1:5" x14ac:dyDescent="0.3">
      <c r="A302" s="15" t="s">
        <v>185</v>
      </c>
      <c r="B302" s="9" t="s">
        <v>0</v>
      </c>
      <c r="C302" s="11" t="str">
        <f>VLOOKUP(A302&amp;"agosto"&amp;2026,'[1]Detalle C-Fecha'!$D:$E,2,FALSE)</f>
        <v>Unilever - Unilever de Arg. S.A.</v>
      </c>
      <c r="D302" s="13">
        <v>46339.773151715948</v>
      </c>
      <c r="E302" s="19"/>
    </row>
    <row r="303" spans="1:5" x14ac:dyDescent="0.3">
      <c r="A303" s="15" t="s">
        <v>48</v>
      </c>
      <c r="B303" s="9" t="s">
        <v>0</v>
      </c>
      <c r="C303" s="11" t="str">
        <f>VLOOKUP(A303&amp;TEXT(D303,"mmmm")&amp;YEAR(D303),'[1]Detalle C-Fecha'!$D:$E,2,FALSE)</f>
        <v>Sin Operación</v>
      </c>
      <c r="D303" s="13">
        <v>46235</v>
      </c>
      <c r="E303" s="19"/>
    </row>
    <row r="304" spans="1:5" x14ac:dyDescent="0.3">
      <c r="A304" s="15" t="s">
        <v>186</v>
      </c>
      <c r="B304" s="9" t="s">
        <v>0</v>
      </c>
      <c r="C304" s="11" t="str">
        <f>VLOOKUP(A304&amp;TEXT(D304,"mmmm")&amp;YEAR(D304),'[1]Detalle C-Fecha'!$D:$E,2,FALSE)</f>
        <v>Papelera - Papelera del Plata S.A.</v>
      </c>
      <c r="D304" s="13">
        <v>46235</v>
      </c>
      <c r="E304" s="19"/>
    </row>
    <row r="305" spans="1:5" x14ac:dyDescent="0.3">
      <c r="A305" s="15" t="s">
        <v>46</v>
      </c>
      <c r="B305" s="9" t="s">
        <v>0</v>
      </c>
      <c r="C305" s="11" t="str">
        <f>VLOOKUP(A305&amp;TEXT(D305,"mmmm")&amp;YEAR(D305),'[1]Detalle C-Fecha'!$D:$E,2,FALSE)</f>
        <v>SUC_MEN - Sucursal Mendoza</v>
      </c>
      <c r="D305" s="13">
        <v>46235.00023400021</v>
      </c>
      <c r="E305" s="19"/>
    </row>
    <row r="306" spans="1:5" x14ac:dyDescent="0.3">
      <c r="A306" s="15" t="s">
        <v>45</v>
      </c>
      <c r="B306" s="9" t="s">
        <v>0</v>
      </c>
      <c r="C306" s="11" t="str">
        <f>VLOOKUP(A306&amp;TEXT(D306,"mmmm")&amp;YEAR(D306),'[1]Detalle C-Fecha'!$D:$E,2,FALSE)</f>
        <v>Sin Operación</v>
      </c>
      <c r="D306" s="13">
        <v>46235</v>
      </c>
      <c r="E306" s="19"/>
    </row>
    <row r="307" spans="1:5" x14ac:dyDescent="0.3">
      <c r="A307" s="15" t="s">
        <v>151</v>
      </c>
      <c r="B307" s="9" t="s">
        <v>0</v>
      </c>
      <c r="C307" s="11" t="str">
        <f>VLOOKUP(A307&amp;"agosto"&amp;2026,'[1]Detalle C-Fecha'!$D:$E,2,FALSE)</f>
        <v>Papelera - Papelera del Plata S.A - Zarate.</v>
      </c>
      <c r="D307" s="13">
        <v>46335.368347286581</v>
      </c>
      <c r="E307" s="19"/>
    </row>
    <row r="308" spans="1:5" x14ac:dyDescent="0.3">
      <c r="A308" s="15" t="s">
        <v>150</v>
      </c>
      <c r="B308" s="9" t="s">
        <v>0</v>
      </c>
      <c r="C308" s="11" t="str">
        <f>VLOOKUP(A308&amp;"agosto"&amp;2026,'[1]Detalle C-Fecha'!$D:$E,2,FALSE)</f>
        <v>JOHNSON - SC JOHNSON DE ARGENTINA SAIC</v>
      </c>
      <c r="D308" s="13">
        <v>46360.637631006299</v>
      </c>
      <c r="E308" s="19"/>
    </row>
    <row r="309" spans="1:5" x14ac:dyDescent="0.3">
      <c r="A309" s="15" t="s">
        <v>44</v>
      </c>
      <c r="B309" s="9" t="s">
        <v>0</v>
      </c>
      <c r="C309" s="11" t="str">
        <f>VLOOKUP(A309&amp;TEXT(D309,"mmmm")&amp;YEAR(D309),'[1]Detalle C-Fecha'!$D:$E,2,FALSE)</f>
        <v>Sin Operación</v>
      </c>
      <c r="D309" s="13">
        <v>46235</v>
      </c>
      <c r="E309" s="19"/>
    </row>
    <row r="310" spans="1:5" x14ac:dyDescent="0.3">
      <c r="A310" s="15" t="s">
        <v>149</v>
      </c>
      <c r="B310" s="9" t="s">
        <v>0</v>
      </c>
      <c r="C310" s="11" t="str">
        <f>VLOOKUP(A310&amp;"agosto"&amp;2026,'[1]Detalle C-Fecha'!$D:$E,2,FALSE)</f>
        <v>Molca</v>
      </c>
      <c r="D310" s="13">
        <v>46315.178882470253</v>
      </c>
      <c r="E310" s="19"/>
    </row>
    <row r="311" spans="1:5" x14ac:dyDescent="0.3">
      <c r="A311" s="15" t="s">
        <v>187</v>
      </c>
      <c r="B311" s="9" t="s">
        <v>0</v>
      </c>
      <c r="C311" s="11" t="str">
        <f>VLOOKUP(A311&amp;TEXT(D311,"mmmm")&amp;YEAR(D311),'[1]Detalle C-Fecha'!$D:$E,2,FALSE)</f>
        <v>CCUCoAZA</v>
      </c>
      <c r="D311" s="13">
        <v>46235</v>
      </c>
      <c r="E311" s="19"/>
    </row>
    <row r="312" spans="1:5" x14ac:dyDescent="0.3">
      <c r="A312" s="15" t="s">
        <v>146</v>
      </c>
      <c r="B312" s="9" t="s">
        <v>0</v>
      </c>
      <c r="C312" s="11" t="str">
        <f>VLOOKUP(A312&amp;"agosto"&amp;2026,'[1]Detalle C-Fecha'!$D:$E,2,FALSE)</f>
        <v>Unilever - Unilever de Arg. S.A.</v>
      </c>
      <c r="D312" s="13">
        <v>46356.483855082151</v>
      </c>
      <c r="E312" s="19"/>
    </row>
    <row r="313" spans="1:5" x14ac:dyDescent="0.3">
      <c r="A313" s="15" t="s">
        <v>145</v>
      </c>
      <c r="B313" s="9" t="s">
        <v>0</v>
      </c>
      <c r="C313" s="11" t="str">
        <f>VLOOKUP(A313&amp;"agosto"&amp;2026,'[1]Detalle C-Fecha'!$D:$E,2,FALSE)</f>
        <v>Molca</v>
      </c>
      <c r="D313" s="13">
        <v>46319.812309239045</v>
      </c>
      <c r="E313" s="19"/>
    </row>
    <row r="314" spans="1:5" x14ac:dyDescent="0.3">
      <c r="A314" s="15" t="s">
        <v>188</v>
      </c>
      <c r="B314" s="9" t="s">
        <v>0</v>
      </c>
      <c r="C314" s="11" t="str">
        <f>VLOOKUP(A314&amp;"agosto"&amp;2026,'[1]Detalle C-Fecha'!$D:$E,2,FALSE)</f>
        <v>SUC_ROS - Sucursal Rosario</v>
      </c>
      <c r="D314" s="13">
        <v>46342.08500416149</v>
      </c>
      <c r="E314" s="19"/>
    </row>
    <row r="315" spans="1:5" x14ac:dyDescent="0.3">
      <c r="A315" s="15" t="s">
        <v>189</v>
      </c>
      <c r="B315" s="9" t="s">
        <v>0</v>
      </c>
      <c r="C315" s="11" t="str">
        <f>VLOOKUP(A315&amp;TEXT(D315,"mmmm")&amp;YEAR(D315),'[1]Detalle C-Fecha'!$D:$E,2,FALSE)</f>
        <v>CMQ_TTE - QUILMES TTE</v>
      </c>
      <c r="D315" s="13">
        <v>46235</v>
      </c>
      <c r="E315" s="19"/>
    </row>
    <row r="316" spans="1:5" x14ac:dyDescent="0.3">
      <c r="A316" s="15" t="s">
        <v>152</v>
      </c>
      <c r="B316" s="9" t="s">
        <v>0</v>
      </c>
      <c r="C316" s="11" t="str">
        <f>VLOOKUP(A316&amp;"agosto"&amp;2026,'[1]Detalle C-Fecha'!$D:$E,2,FALSE)</f>
        <v>Expreso - Servicios Troncales</v>
      </c>
      <c r="D316" s="13">
        <v>46343.581244851317</v>
      </c>
      <c r="E316" s="19"/>
    </row>
    <row r="317" spans="1:5" x14ac:dyDescent="0.3">
      <c r="A317" s="15" t="s">
        <v>190</v>
      </c>
      <c r="B317" s="9" t="s">
        <v>0</v>
      </c>
      <c r="C317" s="11" t="str">
        <f>VLOOKUP(A317&amp;TEXT(D317,"mmmm")&amp;YEAR(D317),'[1]Detalle C-Fecha'!$D:$E,2,FALSE)</f>
        <v>CMQ_TTE - QUILMES TTE</v>
      </c>
      <c r="D317" s="13">
        <v>46235</v>
      </c>
      <c r="E317" s="19"/>
    </row>
    <row r="318" spans="1:5" x14ac:dyDescent="0.3">
      <c r="A318" s="15" t="s">
        <v>42</v>
      </c>
      <c r="B318" s="9" t="s">
        <v>0</v>
      </c>
      <c r="C318" s="11" t="str">
        <f>VLOOKUP(A318&amp;TEXT(D318,"mmmm")&amp;YEAR(D318),'[1]Detalle C-Fecha'!$D:$E,2,FALSE)</f>
        <v>CENCOMLD - Cencosud SA - Mendoza</v>
      </c>
      <c r="D318" s="13">
        <v>46235</v>
      </c>
      <c r="E318" s="19"/>
    </row>
    <row r="319" spans="1:5" x14ac:dyDescent="0.3">
      <c r="A319" s="15" t="s">
        <v>142</v>
      </c>
      <c r="B319" s="9" t="s">
        <v>0</v>
      </c>
      <c r="C319" s="11" t="str">
        <f>VLOOKUP(A319&amp;"agosto"&amp;2026,'[1]Detalle C-Fecha'!$D:$E,2,FALSE)</f>
        <v>CENCO_MZ - Cencosud SA - Mendoza</v>
      </c>
      <c r="D319" s="13">
        <v>46305.61667669045</v>
      </c>
      <c r="E319" s="19"/>
    </row>
    <row r="320" spans="1:5" x14ac:dyDescent="0.3">
      <c r="A320" s="15" t="s">
        <v>40</v>
      </c>
      <c r="B320" s="9" t="s">
        <v>0</v>
      </c>
      <c r="C320" s="11" t="str">
        <f>VLOOKUP(A320&amp;TEXT(D320,"mmmm")&amp;YEAR(D320),'[1]Detalle C-Fecha'!$D:$E,2,FALSE)</f>
        <v>Unilever - Unilever de Arg. S.A.</v>
      </c>
      <c r="D320" s="13">
        <v>46235</v>
      </c>
      <c r="E320" s="19"/>
    </row>
    <row r="321" spans="1:5" x14ac:dyDescent="0.3">
      <c r="A321" s="15" t="s">
        <v>141</v>
      </c>
      <c r="B321" s="9" t="s">
        <v>0</v>
      </c>
      <c r="C321" s="11" t="str">
        <f>VLOOKUP(A321&amp;"agosto"&amp;2026,'[1]Detalle C-Fecha'!$D:$E,2,FALSE)</f>
        <v>CENCO_MZ - Cencosud SA - Mendoza</v>
      </c>
      <c r="D321" s="13">
        <v>46320.452690307371</v>
      </c>
      <c r="E321" s="19"/>
    </row>
    <row r="322" spans="1:5" x14ac:dyDescent="0.3">
      <c r="A322" s="15" t="s">
        <v>191</v>
      </c>
      <c r="B322" s="9" t="s">
        <v>0</v>
      </c>
      <c r="C322" s="11" t="str">
        <f>VLOOKUP(A322&amp;TEXT(D322,"mmmm")&amp;YEAR(D322),'[1]Detalle C-Fecha'!$D:$E,2,FALSE)</f>
        <v>CMQ_TTE - QUILMES TTE</v>
      </c>
      <c r="D322" s="13">
        <v>46235</v>
      </c>
      <c r="E322" s="19"/>
    </row>
    <row r="323" spans="1:5" x14ac:dyDescent="0.3">
      <c r="A323" s="15" t="s">
        <v>192</v>
      </c>
      <c r="B323" s="9" t="s">
        <v>0</v>
      </c>
      <c r="C323" s="11" t="str">
        <f>VLOOKUP(A323&amp;"agosto"&amp;2026,'[1]Detalle C-Fecha'!$D:$E,2,FALSE)</f>
        <v>CMQ_TTE - QUILMES TTE</v>
      </c>
      <c r="D323" s="13">
        <v>46335.34905232476</v>
      </c>
      <c r="E323" s="19"/>
    </row>
    <row r="324" spans="1:5" x14ac:dyDescent="0.3">
      <c r="A324" s="15" t="s">
        <v>36</v>
      </c>
      <c r="B324" s="9" t="s">
        <v>0</v>
      </c>
      <c r="C324" s="11" t="str">
        <f>VLOOKUP(A324&amp;TEXT(D324,"mmmm")&amp;YEAR(D324),'[1]Detalle C-Fecha'!$D:$E,2,FALSE)</f>
        <v>Papelera - Papelera del Plata S.A - Zarate.</v>
      </c>
      <c r="D324" s="13">
        <v>46247.60237173755</v>
      </c>
      <c r="E324" s="19"/>
    </row>
    <row r="325" spans="1:5" x14ac:dyDescent="0.3">
      <c r="A325" s="15" t="s">
        <v>193</v>
      </c>
      <c r="B325" s="9" t="s">
        <v>0</v>
      </c>
      <c r="C325" s="11" t="str">
        <f>VLOOKUP(A325&amp;TEXT(D325,"mmmm")&amp;YEAR(D325),'[1]Detalle C-Fecha'!$D:$E,2,FALSE)</f>
        <v>SUC_REA - Sucursal Realicó</v>
      </c>
      <c r="D325" s="13">
        <v>46262.916409905345</v>
      </c>
      <c r="E325" s="19"/>
    </row>
    <row r="326" spans="1:5" x14ac:dyDescent="0.3">
      <c r="A326" s="15" t="s">
        <v>35</v>
      </c>
      <c r="B326" s="9" t="s">
        <v>0</v>
      </c>
      <c r="C326" s="11" t="str">
        <f>VLOOKUP(A326&amp;TEXT(D326,"mmmm")&amp;YEAR(D326),'[1]Detalle C-Fecha'!$D:$E,2,FALSE)</f>
        <v>CENCO_MZ - Cencosud SA - Mendoza</v>
      </c>
      <c r="D326" s="13">
        <v>46235</v>
      </c>
      <c r="E326" s="19"/>
    </row>
    <row r="327" spans="1:5" x14ac:dyDescent="0.3">
      <c r="A327" s="15" t="s">
        <v>194</v>
      </c>
      <c r="B327" s="9" t="s">
        <v>0</v>
      </c>
      <c r="C327" s="11" t="str">
        <f>VLOOKUP(A327&amp;TEXT(D327,"mmmm")&amp;YEAR(D327),'[1]Detalle C-Fecha'!$D:$E,2,FALSE)</f>
        <v>CMQ_TTE - QUILMES TTE</v>
      </c>
      <c r="D327" s="13">
        <v>46235</v>
      </c>
      <c r="E327" s="19"/>
    </row>
    <row r="328" spans="1:5" x14ac:dyDescent="0.3">
      <c r="A328" s="15" t="s">
        <v>33</v>
      </c>
      <c r="B328" s="9" t="s">
        <v>0</v>
      </c>
      <c r="C328" s="11" t="str">
        <f>VLOOKUP(A328&amp;TEXT(D328,"mmmm")&amp;YEAR(D328),'[1]Detalle C-Fecha'!$D:$E,2,FALSE)</f>
        <v>SUC_MEN - Sucursal Mendoza</v>
      </c>
      <c r="D328" s="13">
        <v>46235</v>
      </c>
      <c r="E328" s="19"/>
    </row>
    <row r="329" spans="1:5" x14ac:dyDescent="0.3">
      <c r="A329" s="15" t="s">
        <v>195</v>
      </c>
      <c r="B329" s="9" t="s">
        <v>0</v>
      </c>
      <c r="C329" s="11" t="str">
        <f>VLOOKUP(A329&amp;"agosto"&amp;2026,'[1]Detalle C-Fecha'!$D:$E,2,FALSE)</f>
        <v>SUC_MEN - Sucursal Mendoza</v>
      </c>
      <c r="D329" s="13">
        <v>46357.004154206894</v>
      </c>
      <c r="E329" s="19"/>
    </row>
    <row r="330" spans="1:5" x14ac:dyDescent="0.3">
      <c r="A330" s="15" t="s">
        <v>32</v>
      </c>
      <c r="B330" s="9" t="s">
        <v>0</v>
      </c>
      <c r="C330" s="11" t="str">
        <f>VLOOKUP(A330&amp;TEXT(D330,"mmmm")&amp;YEAR(D330),'[1]Detalle C-Fecha'!$D:$E,2,FALSE)</f>
        <v>Sin Operación</v>
      </c>
      <c r="D330" s="13">
        <v>46235</v>
      </c>
      <c r="E330" s="19"/>
    </row>
    <row r="331" spans="1:5" x14ac:dyDescent="0.3">
      <c r="A331" s="15" t="s">
        <v>196</v>
      </c>
      <c r="B331" s="9" t="s">
        <v>0</v>
      </c>
      <c r="C331" s="11" t="str">
        <f>VLOOKUP(A331&amp;"agosto"&amp;2026,'[1]Detalle C-Fecha'!$D:$E,2,FALSE)</f>
        <v>Papelera - Papelera del Plata S.A.</v>
      </c>
      <c r="D331" s="13">
        <v>46310.415875615894</v>
      </c>
      <c r="E331" s="19"/>
    </row>
    <row r="332" spans="1:5" x14ac:dyDescent="0.3">
      <c r="A332" s="15" t="s">
        <v>197</v>
      </c>
      <c r="B332" s="9" t="s">
        <v>0</v>
      </c>
      <c r="C332" s="11" t="str">
        <f>VLOOKUP(A332&amp;"agosto"&amp;2026,'[1]Detalle C-Fecha'!$D:$E,2,FALSE)</f>
        <v>Papelera - Papelera del Plata S.A.</v>
      </c>
      <c r="D332" s="13">
        <v>46327.692109536387</v>
      </c>
      <c r="E332" s="19"/>
    </row>
    <row r="333" spans="1:5" x14ac:dyDescent="0.3">
      <c r="A333" s="15" t="s">
        <v>104</v>
      </c>
      <c r="B333" s="9" t="s">
        <v>0</v>
      </c>
      <c r="C333" s="11" t="str">
        <f>VLOOKUP(A333&amp;"agosto"&amp;2026,'[1]Detalle C-Fecha'!$D:$E,2,FALSE)</f>
        <v>ADA_CH - Danone Arg. S.A. - Chascomus</v>
      </c>
      <c r="D333" s="13">
        <v>46354.824688975423</v>
      </c>
      <c r="E333" s="19"/>
    </row>
    <row r="334" spans="1:5" x14ac:dyDescent="0.3">
      <c r="A334" s="15" t="s">
        <v>105</v>
      </c>
      <c r="B334" s="9" t="s">
        <v>0</v>
      </c>
      <c r="C334" s="11" t="str">
        <f>VLOOKUP(A334&amp;"agosto"&amp;2026,'[1]Detalle C-Fecha'!$D:$E,2,FALSE)</f>
        <v>ADA_CH - Danone Arg. S.A. - Chascomus</v>
      </c>
      <c r="D334" s="13">
        <v>46321.385557600886</v>
      </c>
      <c r="E334" s="19"/>
    </row>
    <row r="335" spans="1:5" x14ac:dyDescent="0.3">
      <c r="A335" s="15" t="s">
        <v>139</v>
      </c>
      <c r="B335" s="9" t="s">
        <v>0</v>
      </c>
      <c r="C335" s="11" t="str">
        <f>VLOOKUP(A335&amp;"agosto"&amp;2026,'[1]Detalle C-Fecha'!$D:$E,2,FALSE)</f>
        <v>ADA_CH - Danone Arg. S.A. - Chascomus</v>
      </c>
      <c r="D335" s="13">
        <v>46330.398768669344</v>
      </c>
      <c r="E335" s="19"/>
    </row>
    <row r="336" spans="1:5" x14ac:dyDescent="0.3">
      <c r="A336" s="15" t="s">
        <v>135</v>
      </c>
      <c r="B336" s="9" t="s">
        <v>0</v>
      </c>
      <c r="C336" s="11" t="str">
        <f>VLOOKUP(A336&amp;"agosto"&amp;2026,'[1]Detalle C-Fecha'!$D:$E,2,FALSE)</f>
        <v>Expreso - Servicios Troncales</v>
      </c>
      <c r="D336" s="13">
        <v>46299.001569783868</v>
      </c>
      <c r="E336" s="19"/>
    </row>
    <row r="337" spans="1:5" x14ac:dyDescent="0.3">
      <c r="A337" s="15" t="s">
        <v>198</v>
      </c>
      <c r="B337" s="9" t="s">
        <v>0</v>
      </c>
      <c r="C337" s="11" t="str">
        <f>VLOOKUP(A337&amp;"agosto"&amp;2026,'[1]Detalle C-Fecha'!$D:$E,2,FALSE)</f>
        <v>Arcor S.A.I.C.</v>
      </c>
      <c r="D337" s="13">
        <v>46302.027786177568</v>
      </c>
      <c r="E337" s="19"/>
    </row>
    <row r="338" spans="1:5" x14ac:dyDescent="0.3">
      <c r="A338" s="15" t="s">
        <v>28</v>
      </c>
      <c r="B338" s="9" t="s">
        <v>0</v>
      </c>
      <c r="C338" s="11" t="str">
        <f>VLOOKUP(A338&amp;TEXT(D338,"mmmm")&amp;YEAR(D338),'[1]Detalle C-Fecha'!$D:$E,2,FALSE)</f>
        <v>CENCOMLD - Cencosud SA - Mendoza</v>
      </c>
      <c r="D338" s="13">
        <v>46242.192156506717</v>
      </c>
      <c r="E338" s="19"/>
    </row>
    <row r="339" spans="1:5" x14ac:dyDescent="0.3">
      <c r="A339" s="15" t="s">
        <v>110</v>
      </c>
      <c r="B339" s="9" t="s">
        <v>0</v>
      </c>
      <c r="C339" s="11" t="str">
        <f>VLOOKUP(A339&amp;"agosto"&amp;2026,'[1]Detalle C-Fecha'!$D:$E,2,FALSE)</f>
        <v>CENCOMLD - Cencosud SA - Mendoza</v>
      </c>
      <c r="D339" s="13">
        <v>46331.504335502483</v>
      </c>
      <c r="E339" s="19"/>
    </row>
    <row r="340" spans="1:5" x14ac:dyDescent="0.3">
      <c r="A340" s="15" t="s">
        <v>27</v>
      </c>
      <c r="B340" s="9" t="s">
        <v>0</v>
      </c>
      <c r="C340" s="11" t="str">
        <f>VLOOKUP(A340&amp;TEXT(D340,"mmmm")&amp;YEAR(D340),'[1]Detalle C-Fecha'!$D:$E,2,FALSE)</f>
        <v>CENCOMLD - Cencosud SA - Mendoza</v>
      </c>
      <c r="D340" s="13">
        <v>46240.680609712479</v>
      </c>
      <c r="E340" s="19"/>
    </row>
    <row r="341" spans="1:5" x14ac:dyDescent="0.3">
      <c r="A341" s="15" t="s">
        <v>26</v>
      </c>
      <c r="B341" s="9" t="s">
        <v>0</v>
      </c>
      <c r="C341" s="11" t="str">
        <f>VLOOKUP(A341&amp;TEXT(D341,"mmmm")&amp;YEAR(D341),'[1]Detalle C-Fecha'!$D:$E,2,FALSE)</f>
        <v>CENCOMLD - Cencosud SA - Mendoza</v>
      </c>
      <c r="D341" s="13">
        <v>46235</v>
      </c>
      <c r="E341" s="19"/>
    </row>
    <row r="342" spans="1:5" x14ac:dyDescent="0.3">
      <c r="A342" s="15" t="s">
        <v>137</v>
      </c>
      <c r="B342" s="9" t="s">
        <v>0</v>
      </c>
      <c r="C342" s="11" t="str">
        <f>VLOOKUP(A342&amp;TEXT(D342,"mmmm")&amp;YEAR(D342),'[1]Detalle C-Fecha'!$D:$E,2,FALSE)</f>
        <v>CENCOMLD - Cencosud SA - Mendoza</v>
      </c>
      <c r="D342" s="13">
        <v>46264.47086259738</v>
      </c>
      <c r="E342" s="19"/>
    </row>
    <row r="343" spans="1:5" x14ac:dyDescent="0.3">
      <c r="A343" s="15" t="s">
        <v>25</v>
      </c>
      <c r="B343" s="9" t="s">
        <v>0</v>
      </c>
      <c r="C343" s="11" t="str">
        <f>VLOOKUP(A343&amp;"agosto"&amp;2026,'[1]Detalle C-Fecha'!$D:$E,2,FALSE)</f>
        <v>CENCOMLD - Cencosud SA - Mendoza</v>
      </c>
      <c r="D343" s="13">
        <v>46302.936936794496</v>
      </c>
      <c r="E343" s="19"/>
    </row>
    <row r="344" spans="1:5" x14ac:dyDescent="0.3">
      <c r="A344" s="15" t="s">
        <v>199</v>
      </c>
      <c r="B344" s="9" t="s">
        <v>0</v>
      </c>
      <c r="C344" s="11" t="str">
        <f>VLOOKUP(A344&amp;"agosto"&amp;2026,'[1]Detalle C-Fecha'!$D:$E,2,FALSE)</f>
        <v>Unilever - Unilever de Arg. S.A.</v>
      </c>
      <c r="D344" s="13">
        <v>46322.854605431727</v>
      </c>
      <c r="E344" s="19"/>
    </row>
    <row r="345" spans="1:5" x14ac:dyDescent="0.3">
      <c r="A345" s="15" t="s">
        <v>21</v>
      </c>
      <c r="B345" s="9" t="s">
        <v>0</v>
      </c>
      <c r="C345" s="11" t="str">
        <f>VLOOKUP(A345&amp;TEXT(D345,"mmmm")&amp;YEAR(D345),'[1]Detalle C-Fecha'!$D:$E,2,FALSE)</f>
        <v>Expreso - Servicios Troncales</v>
      </c>
      <c r="D345" s="13">
        <v>46263.786141505712</v>
      </c>
      <c r="E345" s="19"/>
    </row>
    <row r="346" spans="1:5" x14ac:dyDescent="0.3">
      <c r="A346" s="15" t="s">
        <v>20</v>
      </c>
      <c r="B346" s="9" t="s">
        <v>0</v>
      </c>
      <c r="C346" s="11" t="str">
        <f>VLOOKUP(A346&amp;TEXT(D346,"mmmm")&amp;YEAR(D346),'[1]Detalle C-Fecha'!$D:$E,2,FALSE)</f>
        <v>CENCOMLD - Cencosud SA - Mendoza</v>
      </c>
      <c r="D346" s="13">
        <v>46235</v>
      </c>
      <c r="E346" s="19"/>
    </row>
    <row r="347" spans="1:5" x14ac:dyDescent="0.3">
      <c r="A347" s="15" t="s">
        <v>200</v>
      </c>
      <c r="B347" s="9" t="s">
        <v>0</v>
      </c>
      <c r="C347" s="11" t="str">
        <f>VLOOKUP(A347&amp;"agosto"&amp;2026,'[1]Detalle C-Fecha'!$D:$E,2,FALSE)</f>
        <v>Unilever - Unilever de Arg. S.A.</v>
      </c>
      <c r="D347" s="13">
        <v>46311.744026369335</v>
      </c>
      <c r="E347" s="19"/>
    </row>
    <row r="348" spans="1:5" x14ac:dyDescent="0.3">
      <c r="A348" s="15" t="s">
        <v>201</v>
      </c>
      <c r="B348" s="9" t="s">
        <v>0</v>
      </c>
      <c r="C348" s="11" t="str">
        <f>VLOOKUP(A348&amp;TEXT(D348,"mmmm")&amp;YEAR(D348),'[1]Detalle C-Fecha'!$D:$E,2,FALSE)</f>
        <v>Arcor S.A.I.C.</v>
      </c>
      <c r="D348" s="13">
        <v>46235</v>
      </c>
      <c r="E348" s="19"/>
    </row>
    <row r="349" spans="1:5" x14ac:dyDescent="0.3">
      <c r="A349" s="15" t="s">
        <v>19</v>
      </c>
      <c r="B349" s="9" t="s">
        <v>0</v>
      </c>
      <c r="C349" s="11" t="str">
        <f>VLOOKUP(A349&amp;TEXT(D349,"mmmm")&amp;YEAR(D349),'[1]Detalle C-Fecha'!$D:$E,2,FALSE)</f>
        <v>Molca</v>
      </c>
      <c r="D349" s="13">
        <v>46251.419850369261</v>
      </c>
      <c r="E349" s="19"/>
    </row>
    <row r="350" spans="1:5" x14ac:dyDescent="0.3">
      <c r="A350" s="15" t="s">
        <v>17</v>
      </c>
      <c r="B350" s="9" t="s">
        <v>0</v>
      </c>
      <c r="C350" s="11" t="str">
        <f>VLOOKUP(A350&amp;"agosto"&amp;2026,'[1]Detalle C-Fecha'!$D:$E,2,FALSE)</f>
        <v>ADA_CH - Danone Arg. S.A. - Chascomus</v>
      </c>
      <c r="D350" s="13">
        <v>46345.666793608238</v>
      </c>
      <c r="E350" s="19"/>
    </row>
    <row r="351" spans="1:5" x14ac:dyDescent="0.3">
      <c r="A351" s="15" t="s">
        <v>16</v>
      </c>
      <c r="B351" s="9" t="s">
        <v>0</v>
      </c>
      <c r="C351" s="11" t="str">
        <f>VLOOKUP(A351&amp;TEXT(D351,"mmmm")&amp;YEAR(D351),'[1]Detalle C-Fecha'!$D:$E,2,FALSE)</f>
        <v>ADA_CH - Danone Arg. S.A. - Chascomus</v>
      </c>
      <c r="D351" s="13">
        <v>46247.222628655509</v>
      </c>
      <c r="E351" s="19"/>
    </row>
    <row r="352" spans="1:5" x14ac:dyDescent="0.3">
      <c r="A352" s="15" t="s">
        <v>15</v>
      </c>
      <c r="B352" s="9" t="s">
        <v>0</v>
      </c>
      <c r="C352" s="11" t="str">
        <f>VLOOKUP(A352&amp;TEXT(D352,"mmmm")&amp;YEAR(D352),'[1]Detalle C-Fecha'!$D:$E,2,FALSE)</f>
        <v>ADA_CH - Danone Arg. S.A. - Chascomus</v>
      </c>
      <c r="D352" s="13">
        <v>46235</v>
      </c>
      <c r="E352" s="19"/>
    </row>
    <row r="353" spans="1:5" x14ac:dyDescent="0.3">
      <c r="A353" s="15" t="s">
        <v>14</v>
      </c>
      <c r="B353" s="9" t="s">
        <v>0</v>
      </c>
      <c r="C353" s="11" t="str">
        <f>VLOOKUP(A353&amp;TEXT(D353,"mmmm")&amp;YEAR(D353),'[1]Detalle C-Fecha'!$D:$E,2,FALSE)</f>
        <v>ADA_CH - Danone Arg. S.A. - Chascomus</v>
      </c>
      <c r="D353" s="13">
        <v>46259.422917214877</v>
      </c>
      <c r="E353" s="19"/>
    </row>
    <row r="354" spans="1:5" x14ac:dyDescent="0.3">
      <c r="A354" s="15" t="s">
        <v>13</v>
      </c>
      <c r="B354" s="9" t="s">
        <v>0</v>
      </c>
      <c r="C354" s="11" t="str">
        <f>VLOOKUP(A354&amp;"agosto"&amp;2026,'[1]Detalle C-Fecha'!$D:$E,2,FALSE)</f>
        <v>ADA_CH - Danone Arg. S.A. - Chascomus</v>
      </c>
      <c r="D354" s="13">
        <v>46324.231201063674</v>
      </c>
      <c r="E354" s="19"/>
    </row>
    <row r="355" spans="1:5" x14ac:dyDescent="0.3">
      <c r="A355" s="15" t="s">
        <v>114</v>
      </c>
      <c r="B355" s="9" t="s">
        <v>0</v>
      </c>
      <c r="C355" s="11" t="str">
        <f>VLOOKUP(A355&amp;"agosto"&amp;2026,'[1]Detalle C-Fecha'!$D:$E,2,FALSE)</f>
        <v>CENCOMLD - Cencosud SA - Mendoza</v>
      </c>
      <c r="D355" s="13">
        <v>46350.112877604173</v>
      </c>
      <c r="E355" s="19"/>
    </row>
    <row r="356" spans="1:5" x14ac:dyDescent="0.3">
      <c r="A356" s="15" t="s">
        <v>7</v>
      </c>
      <c r="B356" s="9" t="s">
        <v>0</v>
      </c>
      <c r="C356" s="11" t="str">
        <f>VLOOKUP(A356&amp;TEXT(D356,"mmmm")&amp;YEAR(D356),'[1]Detalle C-Fecha'!$D:$E,2,FALSE)</f>
        <v>Expreso - Servicios Troncales</v>
      </c>
      <c r="D356" s="13">
        <v>46235</v>
      </c>
      <c r="E356" s="19"/>
    </row>
    <row r="357" spans="1:5" x14ac:dyDescent="0.3">
      <c r="A357" s="15" t="s">
        <v>202</v>
      </c>
      <c r="B357" s="9" t="s">
        <v>0</v>
      </c>
      <c r="C357" s="11" t="str">
        <f>VLOOKUP(A357&amp;"agosto"&amp;2026,'[1]Detalle C-Fecha'!$D:$E,2,FALSE)</f>
        <v>JOHNSON - SC JOHNSON DE ARGENTINA SAIC</v>
      </c>
      <c r="D357" s="13">
        <v>46326.541762809473</v>
      </c>
      <c r="E357" s="19"/>
    </row>
    <row r="358" spans="1:5" x14ac:dyDescent="0.3">
      <c r="A358" s="15" t="s">
        <v>6</v>
      </c>
      <c r="B358" s="9" t="s">
        <v>0</v>
      </c>
      <c r="C358" s="11" t="str">
        <f>VLOOKUP(A358&amp;"agosto"&amp;2026,'[1]Detalle C-Fecha'!$D:$E,2,FALSE)</f>
        <v>Expreso - Servicios Troncales</v>
      </c>
      <c r="D358" s="13">
        <v>46365.940221201286</v>
      </c>
      <c r="E358" s="19"/>
    </row>
    <row r="359" spans="1:5" x14ac:dyDescent="0.3">
      <c r="A359" s="15" t="s">
        <v>5</v>
      </c>
      <c r="B359" s="9" t="s">
        <v>0</v>
      </c>
      <c r="C359" s="11" t="str">
        <f>VLOOKUP(A359&amp;"agosto"&amp;2026,'[1]Detalle C-Fecha'!$D:$E,2,FALSE)</f>
        <v>Expreso - Servicios Troncales</v>
      </c>
      <c r="D359" s="13">
        <v>46298.93605156093</v>
      </c>
      <c r="E359" s="19"/>
    </row>
    <row r="360" spans="1:5" x14ac:dyDescent="0.3">
      <c r="A360" s="15" t="s">
        <v>130</v>
      </c>
      <c r="B360" s="9" t="s">
        <v>0</v>
      </c>
      <c r="C360" s="11" t="str">
        <f>VLOOKUP(A360&amp;"agosto"&amp;2026,'[1]Detalle C-Fecha'!$D:$E,2,FALSE)</f>
        <v>Expreso - Servicios Troncales</v>
      </c>
      <c r="D360" s="13">
        <v>46296.07280344663</v>
      </c>
      <c r="E360" s="19"/>
    </row>
    <row r="361" spans="1:5" x14ac:dyDescent="0.3">
      <c r="A361" s="15" t="s">
        <v>1</v>
      </c>
      <c r="B361" s="9" t="s">
        <v>0</v>
      </c>
      <c r="C361" s="11" t="str">
        <f>VLOOKUP(A361&amp;TEXT(D361,"mmmm")&amp;YEAR(D361),'[1]Detalle C-Fecha'!$D:$E,2,FALSE)</f>
        <v>Expreso - Servicios Troncales</v>
      </c>
      <c r="D361" s="13">
        <v>46235</v>
      </c>
      <c r="E361" s="19"/>
    </row>
    <row r="362" spans="1:5" x14ac:dyDescent="0.3">
      <c r="A362" s="20" t="s">
        <v>170</v>
      </c>
      <c r="B362" s="9" t="s">
        <v>0</v>
      </c>
      <c r="C362" s="11" t="str">
        <f>VLOOKUP(A362&amp;TEXT(D362,"mmmm")&amp;YEAR(D362),'[1]Detalle C-Fecha'!$D:$E,2,FALSE)</f>
        <v>Topacio</v>
      </c>
      <c r="D362" s="21">
        <v>46272</v>
      </c>
    </row>
    <row r="363" spans="1:5" x14ac:dyDescent="0.3">
      <c r="A363" s="20" t="s">
        <v>81</v>
      </c>
      <c r="B363" s="9" t="s">
        <v>0</v>
      </c>
      <c r="C363" s="11" t="str">
        <f>VLOOKUP(A363&amp;TEXT(D363,"mmmm")&amp;YEAR(D363),'[1]Detalle C-Fecha'!$D:$E,2,FALSE)</f>
        <v>SUC_MEN - Sucursal Mendoza</v>
      </c>
      <c r="D363" s="21">
        <v>46272</v>
      </c>
    </row>
    <row r="364" spans="1:5" x14ac:dyDescent="0.3">
      <c r="A364" s="20" t="s">
        <v>171</v>
      </c>
      <c r="B364" s="9" t="s">
        <v>0</v>
      </c>
      <c r="C364" s="11" t="str">
        <f>VLOOKUP(A364&amp;TEXT(D364,"mmmm")&amp;YEAR(D364),'[1]Detalle C-Fecha'!$D:$E,2,FALSE)</f>
        <v>Sin Operación</v>
      </c>
      <c r="D364" s="21">
        <v>46272</v>
      </c>
    </row>
    <row r="365" spans="1:5" x14ac:dyDescent="0.3">
      <c r="A365" s="20" t="s">
        <v>79</v>
      </c>
      <c r="B365" s="9" t="s">
        <v>0</v>
      </c>
      <c r="C365" s="11" t="str">
        <f>VLOOKUP(A365&amp;TEXT(D365,"mmmm")&amp;YEAR(D365),'[1]Detalle C-Fecha'!$D:$E,2,FALSE)</f>
        <v>Sin Operación</v>
      </c>
      <c r="D365" s="21">
        <v>46272</v>
      </c>
    </row>
    <row r="366" spans="1:5" x14ac:dyDescent="0.3">
      <c r="A366" s="20" t="s">
        <v>78</v>
      </c>
      <c r="B366" s="9" t="s">
        <v>0</v>
      </c>
      <c r="C366" s="11" t="str">
        <f>VLOOKUP(A366&amp;TEXT(D366,"mmmm")&amp;YEAR(D366),'[1]Detalle C-Fecha'!$D:$E,2,FALSE)</f>
        <v>Sin Operación</v>
      </c>
      <c r="D366" s="21">
        <v>46272</v>
      </c>
    </row>
    <row r="367" spans="1:5" x14ac:dyDescent="0.3">
      <c r="A367" s="20" t="s">
        <v>173</v>
      </c>
      <c r="B367" s="9" t="s">
        <v>0</v>
      </c>
      <c r="C367" s="11" t="str">
        <f>VLOOKUP(A367&amp;TEXT(D367,"mmmm")&amp;YEAR(D367),'[1]Detalle C-Fecha'!$D:$E,2,FALSE)</f>
        <v>CCUCoAZA</v>
      </c>
      <c r="D367" s="21">
        <v>46272</v>
      </c>
    </row>
    <row r="368" spans="1:5" x14ac:dyDescent="0.3">
      <c r="A368" s="20" t="s">
        <v>76</v>
      </c>
      <c r="B368" s="9" t="s">
        <v>0</v>
      </c>
      <c r="C368" s="11" t="str">
        <f>VLOOKUP(A368&amp;TEXT(D368,"mmmm")&amp;YEAR(D368),'[1]Detalle C-Fecha'!$D:$E,2,FALSE)</f>
        <v>Sin Operación</v>
      </c>
      <c r="D368" s="21">
        <v>46272</v>
      </c>
    </row>
    <row r="369" spans="1:4" x14ac:dyDescent="0.3">
      <c r="A369" s="20" t="s">
        <v>174</v>
      </c>
      <c r="B369" s="9" t="s">
        <v>0</v>
      </c>
      <c r="C369" s="11" t="str">
        <f>VLOOKUP(A369&amp;TEXT(D369,"mmmm")&amp;YEAR(D369),'[1]Detalle C-Fecha'!$D:$E,2,FALSE)</f>
        <v>AGN_TTE - AGUANORT - Transporte</v>
      </c>
      <c r="D369" s="21">
        <v>46272</v>
      </c>
    </row>
    <row r="370" spans="1:4" x14ac:dyDescent="0.3">
      <c r="A370" s="20" t="s">
        <v>74</v>
      </c>
      <c r="B370" s="9" t="s">
        <v>0</v>
      </c>
      <c r="C370" s="11" t="str">
        <f>VLOOKUP(A370&amp;TEXT(D370,"mmmm")&amp;YEAR(D370),'[1]Detalle C-Fecha'!$D:$E,2,FALSE)</f>
        <v>Sin Operación</v>
      </c>
      <c r="D370" s="21">
        <v>46272</v>
      </c>
    </row>
    <row r="371" spans="1:4" x14ac:dyDescent="0.3">
      <c r="A371" s="20" t="s">
        <v>73</v>
      </c>
      <c r="B371" s="9" t="s">
        <v>0</v>
      </c>
      <c r="C371" s="11" t="str">
        <f>VLOOKUP(A371&amp;TEXT(D371,"mmmm")&amp;YEAR(D371),'[1]Detalle C-Fecha'!$D:$E,2,FALSE)</f>
        <v>Sin Operación</v>
      </c>
      <c r="D371" s="21">
        <v>46272</v>
      </c>
    </row>
    <row r="372" spans="1:4" x14ac:dyDescent="0.3">
      <c r="A372" s="20" t="s">
        <v>72</v>
      </c>
      <c r="B372" s="9" t="s">
        <v>0</v>
      </c>
      <c r="C372" s="11" t="str">
        <f>VLOOKUP(A372&amp;TEXT(D372,"mmmm")&amp;YEAR(D372),'[1]Detalle C-Fecha'!$D:$E,2,FALSE)</f>
        <v>CENCOMLD - Cencosud SA - Mendoza</v>
      </c>
      <c r="D372" s="21">
        <v>46279.957528095947</v>
      </c>
    </row>
    <row r="373" spans="1:4" x14ac:dyDescent="0.3">
      <c r="A373" s="20" t="s">
        <v>71</v>
      </c>
      <c r="B373" s="9" t="s">
        <v>0</v>
      </c>
      <c r="C373" s="11" t="str">
        <f>VLOOKUP(A373&amp;TEXT(D373,"mmmm")&amp;YEAR(D373),'[1]Detalle C-Fecha'!$D:$E,2,FALSE)</f>
        <v>CMQ_TTE - QUILMES TTE</v>
      </c>
      <c r="D373" s="21">
        <v>46272</v>
      </c>
    </row>
    <row r="374" spans="1:4" x14ac:dyDescent="0.3">
      <c r="A374" s="20" t="s">
        <v>69</v>
      </c>
      <c r="B374" s="9" t="s">
        <v>0</v>
      </c>
      <c r="C374" s="11" t="str">
        <f>VLOOKUP(A374&amp;TEXT(D374,"mmmm")&amp;YEAR(D374),'[1]Detalle C-Fecha'!$D:$E,2,FALSE)</f>
        <v>SUC_ROS - Sucursal Rosario</v>
      </c>
      <c r="D374" s="21">
        <v>46272</v>
      </c>
    </row>
    <row r="375" spans="1:4" x14ac:dyDescent="0.3">
      <c r="A375" s="20" t="s">
        <v>68</v>
      </c>
      <c r="B375" s="9" t="s">
        <v>0</v>
      </c>
      <c r="C375" s="11" t="str">
        <f>VLOOKUP(A375&amp;TEXT(D375,"mmmm")&amp;YEAR(D375),'[1]Detalle C-Fecha'!$D:$E,2,FALSE)</f>
        <v>SUC_SRA - Sucursal San Rafael</v>
      </c>
      <c r="D375" s="21">
        <v>46272</v>
      </c>
    </row>
    <row r="376" spans="1:4" x14ac:dyDescent="0.3">
      <c r="A376" s="20" t="s">
        <v>118</v>
      </c>
      <c r="B376" s="9" t="s">
        <v>0</v>
      </c>
      <c r="C376" s="11" t="str">
        <f>VLOOKUP(A376&amp;TEXT(D376,"mmmm")&amp;YEAR(D376),'[1]Detalle C-Fecha'!$D:$E,2,FALSE)</f>
        <v>SUC_SRA - Sucursal San Rafael</v>
      </c>
      <c r="D376" s="21">
        <v>46272</v>
      </c>
    </row>
    <row r="377" spans="1:4" x14ac:dyDescent="0.3">
      <c r="A377" s="20" t="s">
        <v>240</v>
      </c>
      <c r="B377" s="9" t="s">
        <v>0</v>
      </c>
      <c r="C377" s="11" t="str">
        <f>VLOOKUP(A377&amp;TEXT(D377,"mmmm")&amp;YEAR(D377),'[1]Detalle C-Fecha'!$D:$E,2,FALSE)</f>
        <v>CCUCoAZA</v>
      </c>
      <c r="D377" s="21">
        <v>46272</v>
      </c>
    </row>
    <row r="378" spans="1:4" x14ac:dyDescent="0.3">
      <c r="A378" s="20" t="s">
        <v>180</v>
      </c>
      <c r="B378" s="9" t="s">
        <v>0</v>
      </c>
      <c r="C378" s="11" t="str">
        <f>VLOOKUP(A378&amp;TEXT(D378,"mmmm")&amp;YEAR(D378),'[1]Detalle C-Fecha'!$D:$E,2,FALSE)</f>
        <v>CENCO_MZ - Cencosud SA - Mendoza</v>
      </c>
      <c r="D378" s="21">
        <v>46272</v>
      </c>
    </row>
    <row r="379" spans="1:4" x14ac:dyDescent="0.3">
      <c r="A379" s="20" t="s">
        <v>66</v>
      </c>
      <c r="B379" s="9" t="s">
        <v>0</v>
      </c>
      <c r="C379" s="11" t="str">
        <f>VLOOKUP(A379&amp;TEXT(D379,"mmmm")&amp;YEAR(D379),'[1]Detalle C-Fecha'!$D:$E,2,FALSE)</f>
        <v>CIMSA_SRA</v>
      </c>
      <c r="D379" s="21">
        <v>46272</v>
      </c>
    </row>
    <row r="380" spans="1:4" x14ac:dyDescent="0.3">
      <c r="A380" s="20" t="s">
        <v>64</v>
      </c>
      <c r="B380" s="9" t="s">
        <v>0</v>
      </c>
      <c r="C380" s="11" t="str">
        <f>VLOOKUP(A380&amp;TEXT(D380,"mmmm")&amp;YEAR(D380),'[1]Detalle C-Fecha'!$D:$E,2,FALSE)</f>
        <v>CENCO_SJ - Cencosud SA - San Juan</v>
      </c>
      <c r="D380" s="21">
        <v>46272</v>
      </c>
    </row>
    <row r="381" spans="1:4" x14ac:dyDescent="0.3">
      <c r="A381" s="20" t="s">
        <v>62</v>
      </c>
      <c r="B381" s="9" t="s">
        <v>0</v>
      </c>
      <c r="C381" s="11" t="str">
        <f>VLOOKUP(A381&amp;TEXT(D381,"mmmm")&amp;YEAR(D381),'[1]Detalle C-Fecha'!$D:$E,2,FALSE)</f>
        <v>Sin Operación</v>
      </c>
      <c r="D381" s="21">
        <v>46272</v>
      </c>
    </row>
    <row r="382" spans="1:4" x14ac:dyDescent="0.3">
      <c r="A382" s="20" t="s">
        <v>61</v>
      </c>
      <c r="B382" s="9" t="s">
        <v>0</v>
      </c>
      <c r="C382" s="11" t="str">
        <f>VLOOKUP(A382&amp;TEXT(D382,"mmmm")&amp;YEAR(D382),'[1]Detalle C-Fecha'!$D:$E,2,FALSE)</f>
        <v>BAJA</v>
      </c>
      <c r="D382" s="21">
        <v>46272</v>
      </c>
    </row>
    <row r="383" spans="1:4" x14ac:dyDescent="0.3">
      <c r="A383" s="20" t="s">
        <v>60</v>
      </c>
      <c r="B383" s="9" t="s">
        <v>0</v>
      </c>
      <c r="C383" s="11" t="str">
        <f>VLOOKUP(A383&amp;TEXT(D383,"mmmm")&amp;YEAR(D383),'[1]Detalle C-Fecha'!$D:$E,2,FALSE)</f>
        <v>SUC_MAL - Sucursal Malargüe</v>
      </c>
      <c r="D383" s="21">
        <v>46272</v>
      </c>
    </row>
    <row r="384" spans="1:4" x14ac:dyDescent="0.3">
      <c r="A384" s="20" t="s">
        <v>58</v>
      </c>
      <c r="B384" s="9" t="s">
        <v>0</v>
      </c>
      <c r="C384" s="11" t="str">
        <f>VLOOKUP(A384&amp;TEXT(D384,"mmmm")&amp;YEAR(D384),'[1]Detalle C-Fecha'!$D:$E,2,FALSE)</f>
        <v>CMQ_TTE - QUILMES TTE</v>
      </c>
      <c r="D384" s="21">
        <v>46272</v>
      </c>
    </row>
    <row r="385" spans="1:4" x14ac:dyDescent="0.3">
      <c r="A385" s="20" t="s">
        <v>57</v>
      </c>
      <c r="B385" s="9" t="s">
        <v>0</v>
      </c>
      <c r="C385" s="11" t="str">
        <f>VLOOKUP(A385&amp;TEXT(D385,"mmmm")&amp;YEAR(D385),'[1]Detalle C-Fecha'!$D:$E,2,FALSE)</f>
        <v>Sin Operación</v>
      </c>
      <c r="D385" s="21">
        <v>46272</v>
      </c>
    </row>
    <row r="386" spans="1:4" x14ac:dyDescent="0.3">
      <c r="A386" s="20" t="s">
        <v>158</v>
      </c>
      <c r="B386" s="9" t="s">
        <v>0</v>
      </c>
      <c r="C386" s="11" t="str">
        <f>VLOOKUP(A386&amp;TEXT(D386,"mmmm")&amp;YEAR(D386),'[1]Detalle C-Fecha'!$D:$E,2,FALSE)</f>
        <v>SUC_MEN - Sucursal Mendoza</v>
      </c>
      <c r="D386" s="21">
        <v>46272</v>
      </c>
    </row>
    <row r="387" spans="1:4" x14ac:dyDescent="0.3">
      <c r="A387" s="20" t="s">
        <v>183</v>
      </c>
      <c r="B387" s="9" t="s">
        <v>0</v>
      </c>
      <c r="C387" s="11" t="str">
        <f>VLOOKUP(A387&amp;TEXT(D387,"mmmm")&amp;YEAR(D387),'[1]Detalle C-Fecha'!$D:$E,2,FALSE)</f>
        <v>Unilever - Unilever de Arg. S.A.</v>
      </c>
      <c r="D387" s="21">
        <v>46272</v>
      </c>
    </row>
    <row r="388" spans="1:4" x14ac:dyDescent="0.3">
      <c r="A388" s="20" t="s">
        <v>157</v>
      </c>
      <c r="B388" s="9" t="s">
        <v>0</v>
      </c>
      <c r="C388" s="11" t="str">
        <f>VLOOKUP(A388&amp;TEXT(D388,"mmmm")&amp;YEAR(D388),'[1]Detalle C-Fecha'!$D:$E,2,FALSE)</f>
        <v>SUC_CTC - Sucursal Buenos Aires</v>
      </c>
      <c r="D388" s="21">
        <v>46272</v>
      </c>
    </row>
    <row r="389" spans="1:4" x14ac:dyDescent="0.3">
      <c r="A389" s="20" t="s">
        <v>241</v>
      </c>
      <c r="B389" s="9" t="s">
        <v>0</v>
      </c>
      <c r="C389" s="11" t="str">
        <f>VLOOKUP(A389&amp;TEXT(D389,"mmmm")&amp;YEAR(D389),'[1]Detalle C-Fecha'!$D:$E,2,FALSE)</f>
        <v>CIMSA_CI</v>
      </c>
      <c r="D389" s="21">
        <v>46272</v>
      </c>
    </row>
    <row r="390" spans="1:4" x14ac:dyDescent="0.3">
      <c r="A390" s="20" t="s">
        <v>56</v>
      </c>
      <c r="B390" s="9" t="s">
        <v>0</v>
      </c>
      <c r="C390" s="11" t="str">
        <f>VLOOKUP(A390&amp;TEXT(D390,"mmmm")&amp;YEAR(D390),'[1]Detalle C-Fecha'!$D:$E,2,FALSE)</f>
        <v>Sin Operación</v>
      </c>
      <c r="D390" s="21">
        <v>46272</v>
      </c>
    </row>
    <row r="391" spans="1:4" x14ac:dyDescent="0.3">
      <c r="A391" s="20" t="s">
        <v>54</v>
      </c>
      <c r="B391" s="9" t="s">
        <v>0</v>
      </c>
      <c r="C391" s="11" t="str">
        <f>VLOOKUP(A391&amp;TEXT(D391,"mmmm")&amp;YEAR(D391),'[1]Detalle C-Fecha'!$D:$E,2,FALSE)</f>
        <v>SUC_MEN - Sucursal Mendoza</v>
      </c>
      <c r="D391" s="21">
        <v>46272</v>
      </c>
    </row>
    <row r="392" spans="1:4" x14ac:dyDescent="0.3">
      <c r="A392" s="20" t="s">
        <v>53</v>
      </c>
      <c r="B392" s="9" t="s">
        <v>0</v>
      </c>
      <c r="C392" s="11" t="str">
        <f>VLOOKUP(A392&amp;TEXT(D392,"mmmm")&amp;YEAR(D392),'[1]Detalle C-Fecha'!$D:$E,2,FALSE)</f>
        <v>Sin Operación</v>
      </c>
      <c r="D392" s="21">
        <v>46272</v>
      </c>
    </row>
    <row r="393" spans="1:4" x14ac:dyDescent="0.3">
      <c r="A393" s="20" t="s">
        <v>52</v>
      </c>
      <c r="B393" s="9" t="s">
        <v>0</v>
      </c>
      <c r="C393" s="11" t="str">
        <f>VLOOKUP(A393&amp;TEXT(D393,"mmmm")&amp;YEAR(D393),'[1]Detalle C-Fecha'!$D:$E,2,FALSE)</f>
        <v>Sin Operación</v>
      </c>
      <c r="D393" s="21">
        <v>46272</v>
      </c>
    </row>
    <row r="394" spans="1:4" x14ac:dyDescent="0.3">
      <c r="A394" s="20" t="s">
        <v>51</v>
      </c>
      <c r="B394" s="9" t="s">
        <v>0</v>
      </c>
      <c r="C394" s="11" t="str">
        <f>VLOOKUP(A394&amp;TEXT(D394,"mmmm")&amp;YEAR(D394),'[1]Detalle C-Fecha'!$D:$E,2,FALSE)</f>
        <v>Sin Operación</v>
      </c>
      <c r="D394" s="21">
        <v>46272</v>
      </c>
    </row>
    <row r="395" spans="1:4" x14ac:dyDescent="0.3">
      <c r="A395" s="20" t="s">
        <v>155</v>
      </c>
      <c r="B395" s="9" t="s">
        <v>0</v>
      </c>
      <c r="C395" s="11" t="str">
        <f>VLOOKUP(A395&amp;TEXT(D395,"mmmm")&amp;YEAR(D395),'[1]Detalle C-Fecha'!$D:$E,2,FALSE)</f>
        <v>SUC_CTC - Sucursal Buenos Aires</v>
      </c>
      <c r="D395" s="21">
        <v>46292.023375739649</v>
      </c>
    </row>
    <row r="396" spans="1:4" x14ac:dyDescent="0.3">
      <c r="A396" s="20" t="s">
        <v>49</v>
      </c>
      <c r="B396" s="9" t="s">
        <v>0</v>
      </c>
      <c r="C396" s="11" t="str">
        <f>VLOOKUP(A396&amp;TEXT(D396,"mmmm")&amp;YEAR(D396),'[1]Detalle C-Fecha'!$D:$E,2,FALSE)</f>
        <v>Sin Operación</v>
      </c>
      <c r="D396" s="21">
        <v>46272</v>
      </c>
    </row>
    <row r="397" spans="1:4" x14ac:dyDescent="0.3">
      <c r="A397" s="20" t="s">
        <v>48</v>
      </c>
      <c r="B397" s="9" t="s">
        <v>0</v>
      </c>
      <c r="C397" s="11" t="str">
        <f>VLOOKUP(A397&amp;TEXT(D397,"mmmm")&amp;YEAR(D397),'[1]Detalle C-Fecha'!$D:$E,2,FALSE)</f>
        <v>Sin Operación</v>
      </c>
      <c r="D397" s="21">
        <v>46272</v>
      </c>
    </row>
    <row r="398" spans="1:4" x14ac:dyDescent="0.3">
      <c r="A398" s="20" t="s">
        <v>47</v>
      </c>
      <c r="B398" s="9" t="s">
        <v>0</v>
      </c>
      <c r="C398" s="11" t="str">
        <f>VLOOKUP(A398&amp;TEXT(D398,"mmmm")&amp;YEAR(D398),'[1]Detalle C-Fecha'!$D:$E,2,FALSE)</f>
        <v>JOHNSON - SC JOHNSON DE ARGENTINA SAIC</v>
      </c>
      <c r="D398" s="21">
        <v>46282.536912169526</v>
      </c>
    </row>
    <row r="399" spans="1:4" x14ac:dyDescent="0.3">
      <c r="A399" s="20" t="s">
        <v>186</v>
      </c>
      <c r="B399" s="9" t="s">
        <v>0</v>
      </c>
      <c r="C399" s="11" t="str">
        <f>VLOOKUP(A399&amp;TEXT(D399,"mmmm")&amp;YEAR(D399),'[1]Detalle C-Fecha'!$D:$E,2,FALSE)</f>
        <v>Papelera - Papelera del Plata S.A.</v>
      </c>
      <c r="D399" s="21">
        <v>46272</v>
      </c>
    </row>
    <row r="400" spans="1:4" x14ac:dyDescent="0.3">
      <c r="A400" s="20" t="s">
        <v>242</v>
      </c>
      <c r="B400" s="9" t="s">
        <v>0</v>
      </c>
      <c r="C400" s="11" t="str">
        <f>VLOOKUP(A400&amp;TEXT(D400,"mmmm")&amp;YEAR(D400),'[1]Detalle C-Fecha'!$D:$E,2,FALSE)</f>
        <v>CCUCoAZA</v>
      </c>
      <c r="D400" s="21">
        <v>46272</v>
      </c>
    </row>
    <row r="401" spans="1:4" x14ac:dyDescent="0.3">
      <c r="A401" s="20" t="s">
        <v>45</v>
      </c>
      <c r="B401" s="9" t="s">
        <v>0</v>
      </c>
      <c r="C401" s="11" t="str">
        <f>VLOOKUP(A401&amp;TEXT(D401,"mmmm")&amp;YEAR(D401),'[1]Detalle C-Fecha'!$D:$E,2,FALSE)</f>
        <v>Sin Operación</v>
      </c>
      <c r="D401" s="21">
        <v>46272</v>
      </c>
    </row>
    <row r="402" spans="1:4" x14ac:dyDescent="0.3">
      <c r="A402" s="20" t="s">
        <v>44</v>
      </c>
      <c r="B402" s="9" t="s">
        <v>0</v>
      </c>
      <c r="C402" s="11" t="str">
        <f>VLOOKUP(A402&amp;TEXT(D402,"mmmm")&amp;YEAR(D402),'[1]Detalle C-Fecha'!$D:$E,2,FALSE)</f>
        <v>Sin Operación</v>
      </c>
      <c r="D402" s="21">
        <v>46272</v>
      </c>
    </row>
    <row r="403" spans="1:4" x14ac:dyDescent="0.3">
      <c r="A403" s="20" t="s">
        <v>188</v>
      </c>
      <c r="B403" s="9" t="s">
        <v>0</v>
      </c>
      <c r="C403" s="11" t="str">
        <f>VLOOKUP(A403&amp;TEXT(D403,"mmmm")&amp;YEAR(D403),'[1]Detalle C-Fecha'!$D:$E,2,FALSE)</f>
        <v>SUC_ROS - Sucursal Rosario</v>
      </c>
      <c r="D403" s="21">
        <v>46272</v>
      </c>
    </row>
    <row r="404" spans="1:4" x14ac:dyDescent="0.3">
      <c r="A404" s="20" t="s">
        <v>243</v>
      </c>
      <c r="B404" s="9" t="s">
        <v>0</v>
      </c>
      <c r="C404" s="11" t="str">
        <f>VLOOKUP(A404&amp;TEXT(D404,"mmmm")&amp;YEAR(D404),'[1]Detalle C-Fecha'!$D:$E,2,FALSE)</f>
        <v>CMQ_TTE - QUILMES TTE</v>
      </c>
      <c r="D404" s="21">
        <v>46272</v>
      </c>
    </row>
    <row r="405" spans="1:4" x14ac:dyDescent="0.3">
      <c r="A405" s="20" t="s">
        <v>42</v>
      </c>
      <c r="B405" s="9" t="s">
        <v>0</v>
      </c>
      <c r="C405" s="11" t="str">
        <f>VLOOKUP(A405&amp;TEXT(D405,"mmmm")&amp;YEAR(D405),'[1]Detalle C-Fecha'!$D:$E,2,FALSE)</f>
        <v>CENCOMLD - Cencosud SA - Mendoza</v>
      </c>
      <c r="D405" s="21">
        <v>46272</v>
      </c>
    </row>
    <row r="406" spans="1:4" x14ac:dyDescent="0.3">
      <c r="A406" s="20" t="s">
        <v>244</v>
      </c>
      <c r="B406" s="9" t="s">
        <v>0</v>
      </c>
      <c r="C406" s="11" t="str">
        <f>VLOOKUP(A406&amp;TEXT(D406,"mmmm")&amp;YEAR(D406),'[1]Detalle C-Fecha'!$D:$E,2,FALSE)</f>
        <v>CMQ_TTE - QUILMES TTE</v>
      </c>
      <c r="D406" s="21">
        <v>46272</v>
      </c>
    </row>
    <row r="407" spans="1:4" x14ac:dyDescent="0.3">
      <c r="A407" s="20" t="s">
        <v>35</v>
      </c>
      <c r="B407" s="9" t="s">
        <v>0</v>
      </c>
      <c r="C407" s="11" t="str">
        <f>VLOOKUP(A407&amp;TEXT(D407,"mmmm")&amp;YEAR(D407),'[1]Detalle C-Fecha'!$D:$E,2,FALSE)</f>
        <v>CENCO_MZ - Cencosud SA - Mendoza</v>
      </c>
      <c r="D407" s="21">
        <v>46272</v>
      </c>
    </row>
    <row r="408" spans="1:4" x14ac:dyDescent="0.3">
      <c r="A408" s="20" t="s">
        <v>32</v>
      </c>
      <c r="B408" s="9" t="s">
        <v>0</v>
      </c>
      <c r="C408" s="11" t="str">
        <f>VLOOKUP(A408&amp;TEXT(D408,"mmmm")&amp;YEAR(D408),'[1]Detalle C-Fecha'!$D:$E,2,FALSE)</f>
        <v>Sin Operación</v>
      </c>
      <c r="D408" s="21">
        <v>46272</v>
      </c>
    </row>
    <row r="409" spans="1:4" x14ac:dyDescent="0.3">
      <c r="A409" s="20" t="s">
        <v>137</v>
      </c>
      <c r="B409" s="9" t="s">
        <v>0</v>
      </c>
      <c r="C409" s="11" t="str">
        <f>VLOOKUP(A409&amp;TEXT(D409,"mmmm")&amp;YEAR(D409),'[1]Detalle C-Fecha'!$D:$E,2,FALSE)</f>
        <v>CENCOMLD - Cencosud SA - Mendoza</v>
      </c>
      <c r="D409" s="21">
        <v>46272</v>
      </c>
    </row>
    <row r="410" spans="1:4" x14ac:dyDescent="0.3">
      <c r="A410" s="20" t="s">
        <v>87</v>
      </c>
      <c r="B410" s="9" t="s">
        <v>0</v>
      </c>
      <c r="C410" s="11" t="str">
        <f>VLOOKUP(A410&amp;TEXT(D410,"mmmm")&amp;YEAR(D410),'[1]Detalle C-Fecha'!$D:$E,2,FALSE)</f>
        <v>Expreso - Servicios Troncales</v>
      </c>
      <c r="D410" s="21">
        <v>46275.777427852838</v>
      </c>
    </row>
    <row r="411" spans="1:4" x14ac:dyDescent="0.3">
      <c r="A411" s="20" t="s">
        <v>129</v>
      </c>
      <c r="B411" s="9" t="s">
        <v>0</v>
      </c>
      <c r="C411" s="11" t="str">
        <f>VLOOKUP(A411&amp;TEXT(D411,"mmmm")&amp;YEAR(D411),'[1]Detalle C-Fecha'!$D:$E,2,FALSE)</f>
        <v>Expreso - Servicios Troncales</v>
      </c>
      <c r="D411" s="21">
        <v>46272</v>
      </c>
    </row>
    <row r="412" spans="1:4" x14ac:dyDescent="0.3">
      <c r="A412" s="20" t="s">
        <v>22</v>
      </c>
      <c r="B412" s="9" t="s">
        <v>0</v>
      </c>
      <c r="C412" s="11" t="str">
        <f>VLOOKUP(A412&amp;TEXT(D412,"mmmm")&amp;YEAR(D412),'[1]Detalle C-Fecha'!$D:$E,2,FALSE)</f>
        <v>Expreso - Servicios Troncales</v>
      </c>
      <c r="D412" s="21">
        <v>46278.846490377022</v>
      </c>
    </row>
    <row r="413" spans="1:4" x14ac:dyDescent="0.3">
      <c r="A413" s="20" t="s">
        <v>21</v>
      </c>
      <c r="B413" s="9" t="s">
        <v>0</v>
      </c>
      <c r="C413" s="11" t="str">
        <f>VLOOKUP(A413&amp;TEXT(D413,"mmmm")&amp;YEAR(D413),'[1]Detalle C-Fecha'!$D:$E,2,FALSE)</f>
        <v>Expreso - Servicios Troncales</v>
      </c>
      <c r="D413" s="21">
        <v>46272</v>
      </c>
    </row>
    <row r="414" spans="1:4" x14ac:dyDescent="0.3">
      <c r="A414" s="20" t="s">
        <v>20</v>
      </c>
      <c r="B414" s="9" t="s">
        <v>0</v>
      </c>
      <c r="C414" s="11" t="str">
        <f>VLOOKUP(A414&amp;TEXT(D414,"mmmm")&amp;YEAR(D414),'[1]Detalle C-Fecha'!$D:$E,2,FALSE)</f>
        <v>CENCOMLD - Cencosud SA - Mendoza</v>
      </c>
      <c r="D414" s="21">
        <v>46272</v>
      </c>
    </row>
    <row r="415" spans="1:4" x14ac:dyDescent="0.3">
      <c r="A415" s="20" t="s">
        <v>200</v>
      </c>
      <c r="B415" s="9" t="s">
        <v>0</v>
      </c>
      <c r="C415" s="11" t="str">
        <f>VLOOKUP(A415&amp;TEXT(D415,"mmmm")&amp;YEAR(D415),'[1]Detalle C-Fecha'!$D:$E,2,FALSE)</f>
        <v>Unilever - Unilever de Arg. S.A.</v>
      </c>
      <c r="D415" s="21">
        <v>46272</v>
      </c>
    </row>
    <row r="416" spans="1:4" x14ac:dyDescent="0.3">
      <c r="A416" s="20" t="s">
        <v>201</v>
      </c>
      <c r="B416" s="9" t="s">
        <v>0</v>
      </c>
      <c r="C416" s="11" t="str">
        <f>VLOOKUP(A416&amp;TEXT(D416,"mmmm")&amp;YEAR(D416),'[1]Detalle C-Fecha'!$D:$E,2,FALSE)</f>
        <v>Arcor S.A.I.C.</v>
      </c>
      <c r="D416" s="21">
        <v>46272</v>
      </c>
    </row>
    <row r="417" spans="1:4" x14ac:dyDescent="0.3">
      <c r="A417" s="20" t="s">
        <v>19</v>
      </c>
      <c r="B417" s="9" t="s">
        <v>0</v>
      </c>
      <c r="C417" s="11" t="str">
        <f>VLOOKUP(A417&amp;TEXT(D417,"mmmm")&amp;YEAR(D417),'[1]Detalle C-Fecha'!$D:$E,2,FALSE)</f>
        <v>Molca</v>
      </c>
      <c r="D417" s="21">
        <v>46272</v>
      </c>
    </row>
    <row r="418" spans="1:4" x14ac:dyDescent="0.3">
      <c r="A418" s="20" t="s">
        <v>133</v>
      </c>
      <c r="B418" s="9" t="s">
        <v>0</v>
      </c>
      <c r="C418" s="11" t="str">
        <f>VLOOKUP(A418&amp;TEXT(D418,"mmmm")&amp;YEAR(D418),'[1]Detalle C-Fecha'!$D:$E,2,FALSE)</f>
        <v>ADA_CH - Danone Arg. S.A. - Chascomus</v>
      </c>
      <c r="D418" s="21">
        <v>46278.069286188664</v>
      </c>
    </row>
    <row r="419" spans="1:4" x14ac:dyDescent="0.3">
      <c r="A419" s="20" t="s">
        <v>128</v>
      </c>
      <c r="B419" s="9" t="s">
        <v>0</v>
      </c>
      <c r="C419" s="11" t="str">
        <f>VLOOKUP(A419&amp;TEXT(D419,"mmmm")&amp;YEAR(D419),'[1]Detalle C-Fecha'!$D:$E,2,FALSE)</f>
        <v>ADA_CH - Danone Arg. S.A. - Chascomus</v>
      </c>
      <c r="D419" s="21">
        <v>46293.27209537827</v>
      </c>
    </row>
    <row r="420" spans="1:4" x14ac:dyDescent="0.3">
      <c r="A420" s="20" t="s">
        <v>10</v>
      </c>
      <c r="B420" s="9" t="s">
        <v>0</v>
      </c>
      <c r="C420" s="11" t="str">
        <f>VLOOKUP(A420&amp;TEXT(D420,"mmmm")&amp;YEAR(D420),'[1]Detalle C-Fecha'!$D:$E,2,FALSE)</f>
        <v>Expreso - Servicios Troncales</v>
      </c>
      <c r="D420" s="21">
        <v>46294.150670486953</v>
      </c>
    </row>
    <row r="421" spans="1:4" x14ac:dyDescent="0.3">
      <c r="A421" s="20" t="s">
        <v>9</v>
      </c>
      <c r="B421" s="9" t="s">
        <v>0</v>
      </c>
      <c r="C421" s="11" t="str">
        <f>VLOOKUP(A421&amp;TEXT(D421,"mmmm")&amp;YEAR(D421),'[1]Detalle C-Fecha'!$D:$E,2,FALSE)</f>
        <v>Expreso - Servicios Troncales</v>
      </c>
      <c r="D421" s="21">
        <v>46288.657073973838</v>
      </c>
    </row>
    <row r="422" spans="1:4" x14ac:dyDescent="0.3">
      <c r="A422" s="20" t="s">
        <v>132</v>
      </c>
      <c r="B422" s="9" t="s">
        <v>0</v>
      </c>
      <c r="C422" s="11" t="str">
        <f>VLOOKUP(A422&amp;TEXT(D422,"mmmm")&amp;YEAR(D422),'[1]Detalle C-Fecha'!$D:$E,2,FALSE)</f>
        <v>Expreso - Servicios Troncales</v>
      </c>
      <c r="D422" s="21">
        <v>46275.065216107694</v>
      </c>
    </row>
    <row r="423" spans="1:4" x14ac:dyDescent="0.3">
      <c r="A423" s="20" t="s">
        <v>8</v>
      </c>
      <c r="B423" s="9" t="s">
        <v>0</v>
      </c>
      <c r="C423" s="11" t="str">
        <f>VLOOKUP(A423&amp;TEXT(D423,"mmmm")&amp;YEAR(D423),'[1]Detalle C-Fecha'!$D:$E,2,FALSE)</f>
        <v>Expreso - Servicios Troncales</v>
      </c>
      <c r="D423" s="21">
        <v>46284.104584492779</v>
      </c>
    </row>
    <row r="424" spans="1:4" x14ac:dyDescent="0.3">
      <c r="A424" s="20" t="s">
        <v>7</v>
      </c>
      <c r="B424" s="9" t="s">
        <v>0</v>
      </c>
      <c r="C424" s="11" t="str">
        <f>VLOOKUP(A424&amp;TEXT(D424,"mmmm")&amp;YEAR(D424),'[1]Detalle C-Fecha'!$D:$E,2,FALSE)</f>
        <v>Expreso - Servicios Troncales</v>
      </c>
      <c r="D424" s="21">
        <v>46272</v>
      </c>
    </row>
    <row r="425" spans="1:4" x14ac:dyDescent="0.3">
      <c r="A425" s="20" t="s">
        <v>6</v>
      </c>
      <c r="B425" s="9" t="s">
        <v>0</v>
      </c>
      <c r="C425" s="11" t="str">
        <f>VLOOKUP(A425&amp;TEXT(D425,"mmmm")&amp;YEAR(D425),'[1]Detalle C-Fecha'!$D:$E,2,FALSE)</f>
        <v>Expreso - Servicios Troncales</v>
      </c>
      <c r="D425" s="21">
        <v>46295.202663019823</v>
      </c>
    </row>
    <row r="426" spans="1:4" x14ac:dyDescent="0.3">
      <c r="A426" s="20" t="s">
        <v>1</v>
      </c>
      <c r="B426" s="9" t="s">
        <v>0</v>
      </c>
      <c r="C426" s="11" t="str">
        <f>VLOOKUP(A426&amp;TEXT(D426,"mmmm")&amp;YEAR(D426),'[1]Detalle C-Fecha'!$D:$E,2,FALSE)</f>
        <v>Expreso - Servicios Troncales</v>
      </c>
      <c r="D426" s="21">
        <v>46272</v>
      </c>
    </row>
  </sheetData>
  <autoFilter ref="A1:E361"/>
  <conditionalFormatting sqref="A1:A130">
    <cfRule type="duplicateValues" dxfId="0" priority="16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4"/>
  <sheetViews>
    <sheetView workbookViewId="0">
      <selection activeCell="A11" sqref="A11:XFD11"/>
    </sheetView>
  </sheetViews>
  <sheetFormatPr baseColWidth="10" defaultRowHeight="14.4" x14ac:dyDescent="0.3"/>
  <cols>
    <col min="1" max="1" width="38.77734375" bestFit="1" customWidth="1"/>
    <col min="2" max="2" width="16.5546875" bestFit="1" customWidth="1"/>
  </cols>
  <sheetData>
    <row r="1" spans="1:2" x14ac:dyDescent="0.3">
      <c r="A1" s="16" t="s">
        <v>164</v>
      </c>
      <c r="B1" s="17" t="s">
        <v>204</v>
      </c>
    </row>
    <row r="2" spans="1:2" x14ac:dyDescent="0.3">
      <c r="A2" s="16" t="s">
        <v>205</v>
      </c>
      <c r="B2" t="s">
        <v>206</v>
      </c>
    </row>
    <row r="3" spans="1:2" x14ac:dyDescent="0.3">
      <c r="A3" s="18" t="s">
        <v>207</v>
      </c>
      <c r="B3" t="s">
        <v>208</v>
      </c>
    </row>
    <row r="4" spans="1:2" x14ac:dyDescent="0.3">
      <c r="A4" s="16" t="s">
        <v>209</v>
      </c>
      <c r="B4" t="s">
        <v>208</v>
      </c>
    </row>
    <row r="5" spans="1:2" x14ac:dyDescent="0.3">
      <c r="A5" s="16" t="s">
        <v>210</v>
      </c>
      <c r="B5" t="s">
        <v>206</v>
      </c>
    </row>
    <row r="6" spans="1:2" x14ac:dyDescent="0.3">
      <c r="A6" s="18" t="s">
        <v>211</v>
      </c>
      <c r="B6" t="s">
        <v>206</v>
      </c>
    </row>
    <row r="7" spans="1:2" x14ac:dyDescent="0.3">
      <c r="A7" s="18" t="s">
        <v>212</v>
      </c>
      <c r="B7" t="s">
        <v>206</v>
      </c>
    </row>
    <row r="8" spans="1:2" x14ac:dyDescent="0.3">
      <c r="A8" s="16" t="s">
        <v>213</v>
      </c>
      <c r="B8" t="s">
        <v>208</v>
      </c>
    </row>
    <row r="9" spans="1:2" x14ac:dyDescent="0.3">
      <c r="A9" s="18" t="s">
        <v>214</v>
      </c>
      <c r="B9" t="s">
        <v>206</v>
      </c>
    </row>
    <row r="10" spans="1:2" x14ac:dyDescent="0.3">
      <c r="A10" s="18" t="s">
        <v>215</v>
      </c>
      <c r="B10" t="s">
        <v>216</v>
      </c>
    </row>
    <row r="11" spans="1:2" x14ac:dyDescent="0.3">
      <c r="A11" s="16" t="s">
        <v>217</v>
      </c>
      <c r="B11" t="s">
        <v>208</v>
      </c>
    </row>
    <row r="12" spans="1:2" x14ac:dyDescent="0.3">
      <c r="A12" s="16" t="s">
        <v>218</v>
      </c>
      <c r="B12" t="s">
        <v>208</v>
      </c>
    </row>
    <row r="13" spans="1:2" x14ac:dyDescent="0.3">
      <c r="A13" s="18" t="s">
        <v>219</v>
      </c>
      <c r="B13" t="s">
        <v>208</v>
      </c>
    </row>
    <row r="14" spans="1:2" x14ac:dyDescent="0.3">
      <c r="A14" s="18" t="s">
        <v>220</v>
      </c>
      <c r="B14" t="s">
        <v>208</v>
      </c>
    </row>
    <row r="15" spans="1:2" x14ac:dyDescent="0.3">
      <c r="A15" s="18" t="s">
        <v>221</v>
      </c>
      <c r="B15" t="s">
        <v>208</v>
      </c>
    </row>
    <row r="16" spans="1:2" x14ac:dyDescent="0.3">
      <c r="A16" s="18" t="s">
        <v>221</v>
      </c>
      <c r="B16" t="s">
        <v>216</v>
      </c>
    </row>
    <row r="17" spans="1:2" x14ac:dyDescent="0.3">
      <c r="A17" s="18" t="s">
        <v>222</v>
      </c>
      <c r="B17" t="s">
        <v>208</v>
      </c>
    </row>
    <row r="18" spans="1:2" x14ac:dyDescent="0.3">
      <c r="A18" s="18" t="s">
        <v>223</v>
      </c>
      <c r="B18" t="s">
        <v>216</v>
      </c>
    </row>
    <row r="19" spans="1:2" x14ac:dyDescent="0.3">
      <c r="A19" s="18" t="s">
        <v>224</v>
      </c>
      <c r="B19" t="s">
        <v>216</v>
      </c>
    </row>
    <row r="20" spans="1:2" x14ac:dyDescent="0.3">
      <c r="A20" s="18" t="s">
        <v>225</v>
      </c>
      <c r="B20" t="s">
        <v>206</v>
      </c>
    </row>
    <row r="21" spans="1:2" x14ac:dyDescent="0.3">
      <c r="A21" s="18" t="s">
        <v>226</v>
      </c>
      <c r="B21" t="s">
        <v>216</v>
      </c>
    </row>
    <row r="22" spans="1:2" x14ac:dyDescent="0.3">
      <c r="A22" s="16" t="s">
        <v>227</v>
      </c>
      <c r="B22" t="s">
        <v>208</v>
      </c>
    </row>
    <row r="23" spans="1:2" x14ac:dyDescent="0.3">
      <c r="A23" s="16" t="s">
        <v>228</v>
      </c>
      <c r="B23" t="s">
        <v>206</v>
      </c>
    </row>
    <row r="24" spans="1:2" x14ac:dyDescent="0.3">
      <c r="A24" s="16" t="s">
        <v>229</v>
      </c>
      <c r="B24" t="s">
        <v>216</v>
      </c>
    </row>
    <row r="25" spans="1:2" x14ac:dyDescent="0.3">
      <c r="A25" s="16" t="s">
        <v>230</v>
      </c>
      <c r="B25" t="s">
        <v>208</v>
      </c>
    </row>
    <row r="26" spans="1:2" x14ac:dyDescent="0.3">
      <c r="A26" s="16" t="s">
        <v>231</v>
      </c>
      <c r="B26" t="s">
        <v>208</v>
      </c>
    </row>
    <row r="27" spans="1:2" x14ac:dyDescent="0.3">
      <c r="A27" s="18" t="s">
        <v>232</v>
      </c>
      <c r="B27" t="s">
        <v>208</v>
      </c>
    </row>
    <row r="28" spans="1:2" x14ac:dyDescent="0.3">
      <c r="A28" s="18" t="s">
        <v>233</v>
      </c>
      <c r="B28" t="s">
        <v>208</v>
      </c>
    </row>
    <row r="29" spans="1:2" x14ac:dyDescent="0.3">
      <c r="A29" s="18" t="s">
        <v>234</v>
      </c>
      <c r="B29" t="s">
        <v>208</v>
      </c>
    </row>
    <row r="30" spans="1:2" x14ac:dyDescent="0.3">
      <c r="A30" s="18" t="s">
        <v>235</v>
      </c>
      <c r="B30" t="s">
        <v>208</v>
      </c>
    </row>
    <row r="31" spans="1:2" x14ac:dyDescent="0.3">
      <c r="A31" s="18" t="s">
        <v>236</v>
      </c>
      <c r="B31" t="s">
        <v>208</v>
      </c>
    </row>
    <row r="32" spans="1:2" x14ac:dyDescent="0.3">
      <c r="A32" s="18" t="s">
        <v>237</v>
      </c>
      <c r="B32" t="s">
        <v>208</v>
      </c>
    </row>
    <row r="33" spans="1:2" x14ac:dyDescent="0.3">
      <c r="A33" s="16" t="s">
        <v>238</v>
      </c>
      <c r="B33" t="s">
        <v>208</v>
      </c>
    </row>
    <row r="34" spans="1:2" x14ac:dyDescent="0.3">
      <c r="A34" s="16" t="s">
        <v>239</v>
      </c>
      <c r="B34" t="s">
        <v>208</v>
      </c>
    </row>
  </sheetData>
  <autoFilter ref="A1:B3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Planes Año 2026 (2)</vt:lpstr>
      <vt:lpstr>Taller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2026-07-28T10:13:25Z</dcterms:created>
  <dcterms:modified xsi:type="dcterms:W3CDTF">2026-09-07T10:09:01Z</dcterms:modified>
</cp:coreProperties>
</file>